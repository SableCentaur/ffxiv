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ble\Documents\GitHub\ffxiv\Triggernometry\Monk\Cooldown Planners\"/>
    </mc:Choice>
  </mc:AlternateContent>
  <xr:revisionPtr revIDLastSave="0" documentId="13_ncr:1_{1588B76D-FF28-4CA7-B854-1E422E134CFE}" xr6:coauthVersionLast="45" xr6:coauthVersionMax="45" xr10:uidLastSave="{00000000-0000-0000-0000-000000000000}"/>
  <bookViews>
    <workbookView xWindow="1080" yWindow="1080" windowWidth="26400" windowHeight="11385" activeTab="1" xr2:uid="{0DC9AEF2-A763-4BD9-AEEF-9BD43D704DD9}"/>
  </bookViews>
  <sheets>
    <sheet name="Sheet1" sheetId="1" r:id="rId1"/>
    <sheet name="FFlogsConversion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0" i="1" l="1" a="1"/>
  <c r="H20" i="1" s="1"/>
  <c r="H21" i="1" a="1"/>
  <c r="H21" i="1" s="1"/>
  <c r="H22" i="1" a="1"/>
  <c r="H22" i="1" s="1"/>
  <c r="H23" i="1" a="1"/>
  <c r="H23" i="1" s="1"/>
  <c r="H24" i="1" a="1"/>
  <c r="H24" i="1" s="1"/>
  <c r="H25" i="1" a="1"/>
  <c r="H25" i="1" s="1"/>
  <c r="H26" i="1" a="1"/>
  <c r="H26" i="1"/>
  <c r="H27" i="1" a="1"/>
  <c r="H27" i="1" s="1"/>
  <c r="H28" i="1" a="1"/>
  <c r="H28" i="1" s="1"/>
  <c r="H29" i="1" a="1"/>
  <c r="H29" i="1" s="1"/>
  <c r="H30" i="1" a="1"/>
  <c r="H30" i="1"/>
  <c r="H31" i="1" a="1"/>
  <c r="H31" i="1" s="1"/>
  <c r="H32" i="1" a="1"/>
  <c r="H32" i="1" s="1"/>
  <c r="H33" i="1" a="1"/>
  <c r="H33" i="1" s="1"/>
  <c r="H34" i="1" a="1"/>
  <c r="H34" i="1"/>
  <c r="H35" i="1" a="1"/>
  <c r="H35" i="1" s="1"/>
  <c r="H36" i="1" a="1"/>
  <c r="H36" i="1" s="1"/>
  <c r="H37" i="1" a="1"/>
  <c r="H37" i="1" s="1"/>
  <c r="H38" i="1" a="1"/>
  <c r="H38" i="1"/>
  <c r="H39" i="1" a="1"/>
  <c r="H39" i="1" s="1"/>
  <c r="H40" i="1" a="1"/>
  <c r="H40" i="1" s="1"/>
  <c r="H41" i="1" a="1"/>
  <c r="H41" i="1" s="1"/>
  <c r="H42" i="1" a="1"/>
  <c r="H42" i="1"/>
  <c r="H43" i="1" a="1"/>
  <c r="H43" i="1" s="1"/>
  <c r="H44" i="1" a="1"/>
  <c r="H44" i="1" s="1"/>
  <c r="H45" i="1" a="1"/>
  <c r="H45" i="1" s="1"/>
  <c r="H46" i="1" a="1"/>
  <c r="H46" i="1"/>
  <c r="H47" i="1" a="1"/>
  <c r="H47" i="1" s="1"/>
  <c r="H48" i="1" a="1"/>
  <c r="H48" i="1" s="1"/>
  <c r="H49" i="1" a="1"/>
  <c r="H49" i="1" s="1"/>
  <c r="H50" i="1" a="1"/>
  <c r="H50" i="1"/>
  <c r="H6" i="1" a="1"/>
  <c r="H6" i="1"/>
  <c r="H7" i="1" a="1"/>
  <c r="H7" i="1" s="1"/>
  <c r="H8" i="1" a="1"/>
  <c r="H8" i="1" s="1"/>
  <c r="H9" i="1" a="1"/>
  <c r="H9" i="1"/>
  <c r="H10" i="1" a="1"/>
  <c r="H10" i="1"/>
  <c r="H11" i="1" a="1"/>
  <c r="H11" i="1" s="1"/>
  <c r="H12" i="1" a="1"/>
  <c r="H12" i="1" s="1"/>
  <c r="H13" i="1" a="1"/>
  <c r="H13" i="1"/>
  <c r="H14" i="1" a="1"/>
  <c r="H14" i="1"/>
  <c r="H15" i="1" a="1"/>
  <c r="H15" i="1" s="1"/>
  <c r="H16" i="1" a="1"/>
  <c r="H16" i="1" s="1"/>
  <c r="H17" i="1" a="1"/>
  <c r="H17" i="1" s="1"/>
  <c r="H18" i="1" a="1"/>
  <c r="H18" i="1" s="1"/>
  <c r="H19" i="1" a="1"/>
  <c r="H19" i="1" s="1"/>
  <c r="H5" i="1" a="1"/>
  <c r="H5" i="1" s="1"/>
  <c r="I26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M5" i="1"/>
  <c r="M4" i="1"/>
  <c r="M3" i="1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" i="2"/>
  <c r="N3" i="2" a="1"/>
  <c r="N7" i="2" a="1"/>
  <c r="N11" i="2" a="1"/>
  <c r="N15" i="2" a="1"/>
  <c r="N19" i="2" a="1"/>
  <c r="N23" i="2" a="1"/>
  <c r="N27" i="2" a="1"/>
  <c r="N31" i="2" a="1"/>
  <c r="N35" i="2" a="1"/>
  <c r="N39" i="2" a="1"/>
  <c r="N43" i="2" a="1"/>
  <c r="N47" i="2" a="1"/>
  <c r="N51" i="2" a="1"/>
  <c r="N55" i="2" a="1"/>
  <c r="N59" i="2" a="1"/>
  <c r="N63" i="2" a="1"/>
  <c r="N67" i="2" a="1"/>
  <c r="N71" i="2" a="1"/>
  <c r="N75" i="2" a="1"/>
  <c r="N79" i="2" a="1"/>
  <c r="N83" i="2" a="1"/>
  <c r="N87" i="2" a="1"/>
  <c r="N91" i="2" a="1"/>
  <c r="N95" i="2" a="1"/>
  <c r="N99" i="2" a="1"/>
  <c r="N103" i="2" a="1"/>
  <c r="N107" i="2" a="1"/>
  <c r="N111" i="2" a="1"/>
  <c r="N115" i="2" a="1"/>
  <c r="N119" i="2" a="1"/>
  <c r="N4" i="2" a="1"/>
  <c r="N8" i="2" a="1"/>
  <c r="N12" i="2" a="1"/>
  <c r="N16" i="2" a="1"/>
  <c r="N20" i="2" a="1"/>
  <c r="N24" i="2" a="1"/>
  <c r="N28" i="2" a="1"/>
  <c r="N32" i="2" a="1"/>
  <c r="N36" i="2" a="1"/>
  <c r="N40" i="2" a="1"/>
  <c r="N44" i="2" a="1"/>
  <c r="N48" i="2" a="1"/>
  <c r="N52" i="2" a="1"/>
  <c r="N56" i="2" a="1"/>
  <c r="N60" i="2" a="1"/>
  <c r="N64" i="2" a="1"/>
  <c r="N68" i="2" a="1"/>
  <c r="N72" i="2" a="1"/>
  <c r="N76" i="2" a="1"/>
  <c r="N80" i="2" a="1"/>
  <c r="N84" i="2" a="1"/>
  <c r="N88" i="2" a="1"/>
  <c r="N92" i="2" a="1"/>
  <c r="N96" i="2" a="1"/>
  <c r="N100" i="2" a="1"/>
  <c r="N104" i="2" a="1"/>
  <c r="N108" i="2" a="1"/>
  <c r="N112" i="2" a="1"/>
  <c r="N116" i="2" a="1"/>
  <c r="N120" i="2" a="1"/>
  <c r="N124" i="2" a="1"/>
  <c r="N128" i="2" a="1"/>
  <c r="N132" i="2" a="1"/>
  <c r="N5" i="2" a="1"/>
  <c r="N9" i="2" a="1"/>
  <c r="N13" i="2" a="1"/>
  <c r="N17" i="2" a="1"/>
  <c r="N21" i="2" a="1"/>
  <c r="N25" i="2" a="1"/>
  <c r="N29" i="2" a="1"/>
  <c r="N33" i="2" a="1"/>
  <c r="N37" i="2" a="1"/>
  <c r="N41" i="2" a="1"/>
  <c r="N45" i="2" a="1"/>
  <c r="N49" i="2" a="1"/>
  <c r="N53" i="2" a="1"/>
  <c r="N57" i="2" a="1"/>
  <c r="N61" i="2" a="1"/>
  <c r="N65" i="2" a="1"/>
  <c r="N69" i="2" a="1"/>
  <c r="N73" i="2" a="1"/>
  <c r="N77" i="2" a="1"/>
  <c r="N81" i="2" a="1"/>
  <c r="N85" i="2" a="1"/>
  <c r="N89" i="2" a="1"/>
  <c r="N93" i="2" a="1"/>
  <c r="N97" i="2" a="1"/>
  <c r="N101" i="2" a="1"/>
  <c r="N105" i="2" a="1"/>
  <c r="N109" i="2" a="1"/>
  <c r="N113" i="2" a="1"/>
  <c r="N117" i="2" a="1"/>
  <c r="N121" i="2" a="1"/>
  <c r="N125" i="2" a="1"/>
  <c r="N129" i="2" a="1"/>
  <c r="N133" i="2" a="1"/>
  <c r="N137" i="2" a="1"/>
  <c r="N141" i="2" a="1"/>
  <c r="N145" i="2" a="1"/>
  <c r="N149" i="2" a="1"/>
  <c r="N153" i="2" a="1"/>
  <c r="N157" i="2" a="1"/>
  <c r="N161" i="2" a="1"/>
  <c r="N165" i="2" a="1"/>
  <c r="N6" i="2" a="1"/>
  <c r="N10" i="2" a="1"/>
  <c r="N14" i="2" a="1"/>
  <c r="N18" i="2" a="1"/>
  <c r="N22" i="2" a="1"/>
  <c r="N26" i="2" a="1"/>
  <c r="N30" i="2" a="1"/>
  <c r="N34" i="2" a="1"/>
  <c r="N38" i="2" a="1"/>
  <c r="N42" i="2" a="1"/>
  <c r="N46" i="2" a="1"/>
  <c r="N50" i="2" a="1"/>
  <c r="N54" i="2" a="1"/>
  <c r="N58" i="2" a="1"/>
  <c r="N62" i="2" a="1"/>
  <c r="N66" i="2" a="1"/>
  <c r="N70" i="2" a="1"/>
  <c r="N74" i="2" a="1"/>
  <c r="N78" i="2" a="1"/>
  <c r="N82" i="2" a="1"/>
  <c r="N86" i="2" a="1"/>
  <c r="N90" i="2" a="1"/>
  <c r="N94" i="2" a="1"/>
  <c r="N98" i="2" a="1"/>
  <c r="N102" i="2" a="1"/>
  <c r="N106" i="2" a="1"/>
  <c r="N110" i="2" a="1"/>
  <c r="N114" i="2" a="1"/>
  <c r="N118" i="2" a="1"/>
  <c r="N122" i="2" a="1"/>
  <c r="N126" i="2" a="1"/>
  <c r="N130" i="2" a="1"/>
  <c r="N134" i="2" a="1"/>
  <c r="N138" i="2" a="1"/>
  <c r="N142" i="2" a="1"/>
  <c r="N146" i="2" a="1"/>
  <c r="N150" i="2" a="1"/>
  <c r="N154" i="2" a="1"/>
  <c r="N158" i="2" a="1"/>
  <c r="N162" i="2" a="1"/>
  <c r="N166" i="2" a="1"/>
  <c r="N127" i="2" a="1"/>
  <c r="N140" i="2" a="1"/>
  <c r="N151" i="2" a="1"/>
  <c r="N177" i="2" a="1"/>
  <c r="N183" i="2" a="1"/>
  <c r="N190" i="2" a="1"/>
  <c r="N196" i="2" a="1"/>
  <c r="N209" i="2" a="1"/>
  <c r="N215" i="2" a="1"/>
  <c r="N222" i="2" a="1"/>
  <c r="N228" i="2" a="1"/>
  <c r="N241" i="2" a="1"/>
  <c r="N247" i="2" a="1"/>
  <c r="N254" i="2" a="1"/>
  <c r="N260" i="2" a="1"/>
  <c r="N273" i="2" a="1"/>
  <c r="N292" i="2" a="1"/>
  <c r="N305" i="2" a="1"/>
  <c r="N324" i="2" a="1"/>
  <c r="N337" i="2" a="1"/>
  <c r="N152" i="2" a="1"/>
  <c r="N163" i="2" a="1"/>
  <c r="N171" i="2" a="1"/>
  <c r="N178" i="2" a="1"/>
  <c r="N184" i="2" a="1"/>
  <c r="N197" i="2" a="1"/>
  <c r="N203" i="2" a="1"/>
  <c r="N210" i="2" a="1"/>
  <c r="N216" i="2" a="1"/>
  <c r="N229" i="2" a="1"/>
  <c r="N235" i="2" a="1"/>
  <c r="N242" i="2" a="1"/>
  <c r="N248" i="2" a="1"/>
  <c r="N261" i="2" a="1"/>
  <c r="N267" i="2" a="1"/>
  <c r="N274" i="2" a="1"/>
  <c r="N280" i="2" a="1"/>
  <c r="N293" i="2" a="1"/>
  <c r="N299" i="2" a="1"/>
  <c r="N306" i="2" a="1"/>
  <c r="N312" i="2" a="1"/>
  <c r="N325" i="2" a="1"/>
  <c r="N331" i="2" a="1"/>
  <c r="N338" i="2" a="1"/>
  <c r="N131" i="2" a="1"/>
  <c r="N143" i="2" a="1"/>
  <c r="N164" i="2" a="1"/>
  <c r="N172" i="2" a="1"/>
  <c r="N185" i="2" a="1"/>
  <c r="N191" i="2" a="1"/>
  <c r="N198" i="2" a="1"/>
  <c r="N204" i="2" a="1"/>
  <c r="N217" i="2" a="1"/>
  <c r="N223" i="2" a="1"/>
  <c r="N230" i="2" a="1"/>
  <c r="N236" i="2" a="1"/>
  <c r="N249" i="2" a="1"/>
  <c r="N255" i="2" a="1"/>
  <c r="N262" i="2" a="1"/>
  <c r="N268" i="2" a="1"/>
  <c r="N281" i="2" a="1"/>
  <c r="N287" i="2" a="1"/>
  <c r="N294" i="2" a="1"/>
  <c r="N300" i="2" a="1"/>
  <c r="N313" i="2" a="1"/>
  <c r="N319" i="2" a="1"/>
  <c r="N326" i="2" a="1"/>
  <c r="N332" i="2" a="1"/>
  <c r="N144" i="2" a="1"/>
  <c r="N155" i="2" a="1"/>
  <c r="N173" i="2" a="1"/>
  <c r="N179" i="2" a="1"/>
  <c r="N186" i="2" a="1"/>
  <c r="N192" i="2" a="1"/>
  <c r="N205" i="2" a="1"/>
  <c r="N211" i="2" a="1"/>
  <c r="N218" i="2" a="1"/>
  <c r="N224" i="2" a="1"/>
  <c r="N237" i="2" a="1"/>
  <c r="N243" i="2" a="1"/>
  <c r="N250" i="2" a="1"/>
  <c r="N256" i="2" a="1"/>
  <c r="N269" i="2" a="1"/>
  <c r="N275" i="2" a="1"/>
  <c r="N282" i="2" a="1"/>
  <c r="N288" i="2" a="1"/>
  <c r="N301" i="2" a="1"/>
  <c r="N307" i="2" a="1"/>
  <c r="N314" i="2" a="1"/>
  <c r="N320" i="2" a="1"/>
  <c r="N333" i="2" a="1"/>
  <c r="N339" i="2" a="1"/>
  <c r="N167" i="2" a="1"/>
  <c r="N180" i="2" a="1"/>
  <c r="N199" i="2" a="1"/>
  <c r="N212" i="2" a="1"/>
  <c r="N231" i="2" a="1"/>
  <c r="N244" i="2" a="1"/>
  <c r="N257" i="2" a="1"/>
  <c r="N270" i="2" a="1"/>
  <c r="N295" i="2" a="1"/>
  <c r="N302" i="2" a="1"/>
  <c r="N321" i="2" a="1"/>
  <c r="N334" i="2" a="1"/>
  <c r="N340" i="2" a="1"/>
  <c r="N135" i="2" a="1"/>
  <c r="N156" i="2" a="1"/>
  <c r="N174" i="2" a="1"/>
  <c r="N193" i="2" a="1"/>
  <c r="N206" i="2" a="1"/>
  <c r="N225" i="2" a="1"/>
  <c r="N238" i="2" a="1"/>
  <c r="N263" i="2" a="1"/>
  <c r="N276" i="2" a="1"/>
  <c r="N289" i="2" a="1"/>
  <c r="N308" i="2" a="1"/>
  <c r="N327" i="2" a="1"/>
  <c r="N136" i="2" a="1"/>
  <c r="N147" i="2" a="1"/>
  <c r="N168" i="2" a="1"/>
  <c r="N181" i="2" a="1"/>
  <c r="N187" i="2" a="1"/>
  <c r="N194" i="2" a="1"/>
  <c r="N200" i="2" a="1"/>
  <c r="N213" i="2" a="1"/>
  <c r="N219" i="2" a="1"/>
  <c r="N226" i="2" a="1"/>
  <c r="N232" i="2" a="1"/>
  <c r="N245" i="2" a="1"/>
  <c r="N251" i="2" a="1"/>
  <c r="N258" i="2" a="1"/>
  <c r="N264" i="2" a="1"/>
  <c r="N277" i="2" a="1"/>
  <c r="N283" i="2" a="1"/>
  <c r="N290" i="2" a="1"/>
  <c r="N296" i="2" a="1"/>
  <c r="N309" i="2" a="1"/>
  <c r="N315" i="2" a="1"/>
  <c r="N322" i="2" a="1"/>
  <c r="N328" i="2" a="1"/>
  <c r="N341" i="2" a="1"/>
  <c r="N160" i="2" a="1"/>
  <c r="N176" i="2" a="1"/>
  <c r="N189" i="2" a="1"/>
  <c r="N202" i="2" a="1"/>
  <c r="N221" i="2" a="1"/>
  <c r="N234" i="2" a="1"/>
  <c r="N259" i="2" a="1"/>
  <c r="N266" i="2" a="1"/>
  <c r="N285" i="2" a="1"/>
  <c r="N298" i="2" a="1"/>
  <c r="N323" i="2" a="1"/>
  <c r="N336" i="2" a="1"/>
  <c r="N286" i="2" a="1"/>
  <c r="N311" i="2" a="1"/>
  <c r="N123" i="2" a="1"/>
  <c r="N148" i="2" a="1"/>
  <c r="N159" i="2" a="1"/>
  <c r="N169" i="2" a="1"/>
  <c r="N175" i="2" a="1"/>
  <c r="N182" i="2" a="1"/>
  <c r="N188" i="2" a="1"/>
  <c r="N201" i="2" a="1"/>
  <c r="N207" i="2" a="1"/>
  <c r="N214" i="2" a="1"/>
  <c r="N220" i="2" a="1"/>
  <c r="N233" i="2" a="1"/>
  <c r="N239" i="2" a="1"/>
  <c r="N246" i="2" a="1"/>
  <c r="N252" i="2" a="1"/>
  <c r="N265" i="2" a="1"/>
  <c r="N271" i="2" a="1"/>
  <c r="N278" i="2" a="1"/>
  <c r="N284" i="2" a="1"/>
  <c r="N297" i="2" a="1"/>
  <c r="N303" i="2" a="1"/>
  <c r="N310" i="2" a="1"/>
  <c r="N316" i="2" a="1"/>
  <c r="N329" i="2" a="1"/>
  <c r="N335" i="2" a="1"/>
  <c r="N139" i="2" a="1"/>
  <c r="N170" i="2" a="1"/>
  <c r="N195" i="2" a="1"/>
  <c r="N208" i="2" a="1"/>
  <c r="N227" i="2" a="1"/>
  <c r="N240" i="2" a="1"/>
  <c r="N253" i="2" a="1"/>
  <c r="N272" i="2" a="1"/>
  <c r="N291" i="2" a="1"/>
  <c r="N304" i="2" a="1"/>
  <c r="N317" i="2" a="1"/>
  <c r="N330" i="2" a="1"/>
  <c r="N342" i="2" a="1"/>
  <c r="N279" i="2" a="1"/>
  <c r="N318" i="2" a="1"/>
  <c r="N2" i="2" a="1"/>
  <c r="N318" i="2" l="1"/>
  <c r="N279" i="2"/>
  <c r="N342" i="2"/>
  <c r="N330" i="2"/>
  <c r="N317" i="2"/>
  <c r="N304" i="2"/>
  <c r="N291" i="2"/>
  <c r="N272" i="2"/>
  <c r="N253" i="2"/>
  <c r="N240" i="2"/>
  <c r="N227" i="2"/>
  <c r="N208" i="2"/>
  <c r="N195" i="2"/>
  <c r="N170" i="2"/>
  <c r="N139" i="2"/>
  <c r="N335" i="2"/>
  <c r="N329" i="2"/>
  <c r="N316" i="2"/>
  <c r="N310" i="2"/>
  <c r="N303" i="2"/>
  <c r="N297" i="2"/>
  <c r="N284" i="2"/>
  <c r="N278" i="2"/>
  <c r="N271" i="2"/>
  <c r="N265" i="2"/>
  <c r="N252" i="2"/>
  <c r="N246" i="2"/>
  <c r="N239" i="2"/>
  <c r="N233" i="2"/>
  <c r="N220" i="2"/>
  <c r="N214" i="2"/>
  <c r="N207" i="2"/>
  <c r="N201" i="2"/>
  <c r="N188" i="2"/>
  <c r="N182" i="2"/>
  <c r="N175" i="2"/>
  <c r="N169" i="2"/>
  <c r="N159" i="2"/>
  <c r="N148" i="2"/>
  <c r="N123" i="2"/>
  <c r="N311" i="2"/>
  <c r="N286" i="2"/>
  <c r="N336" i="2"/>
  <c r="N323" i="2"/>
  <c r="N298" i="2"/>
  <c r="N285" i="2"/>
  <c r="N266" i="2"/>
  <c r="N259" i="2"/>
  <c r="N234" i="2"/>
  <c r="N221" i="2"/>
  <c r="N202" i="2"/>
  <c r="N189" i="2"/>
  <c r="N176" i="2"/>
  <c r="N160" i="2"/>
  <c r="N341" i="2"/>
  <c r="N328" i="2"/>
  <c r="N322" i="2"/>
  <c r="N315" i="2"/>
  <c r="N309" i="2"/>
  <c r="N296" i="2"/>
  <c r="N290" i="2"/>
  <c r="N283" i="2"/>
  <c r="N277" i="2"/>
  <c r="N264" i="2"/>
  <c r="N258" i="2"/>
  <c r="N251" i="2"/>
  <c r="N245" i="2"/>
  <c r="N232" i="2"/>
  <c r="N226" i="2"/>
  <c r="N219" i="2"/>
  <c r="N213" i="2"/>
  <c r="N200" i="2"/>
  <c r="N194" i="2"/>
  <c r="N187" i="2"/>
  <c r="N181" i="2"/>
  <c r="N168" i="2"/>
  <c r="N147" i="2"/>
  <c r="N136" i="2"/>
  <c r="N327" i="2"/>
  <c r="N308" i="2"/>
  <c r="N289" i="2"/>
  <c r="N276" i="2"/>
  <c r="N263" i="2"/>
  <c r="N238" i="2"/>
  <c r="N225" i="2"/>
  <c r="N206" i="2"/>
  <c r="N193" i="2"/>
  <c r="N174" i="2"/>
  <c r="N156" i="2"/>
  <c r="N135" i="2"/>
  <c r="N340" i="2"/>
  <c r="N334" i="2"/>
  <c r="N321" i="2"/>
  <c r="N302" i="2"/>
  <c r="N295" i="2"/>
  <c r="N270" i="2"/>
  <c r="N257" i="2"/>
  <c r="N244" i="2"/>
  <c r="N231" i="2"/>
  <c r="N212" i="2"/>
  <c r="N199" i="2"/>
  <c r="N180" i="2"/>
  <c r="N167" i="2"/>
  <c r="N339" i="2"/>
  <c r="N333" i="2"/>
  <c r="N320" i="2"/>
  <c r="N314" i="2"/>
  <c r="N307" i="2"/>
  <c r="N301" i="2"/>
  <c r="N288" i="2"/>
  <c r="N282" i="2"/>
  <c r="N275" i="2"/>
  <c r="N269" i="2"/>
  <c r="N256" i="2"/>
  <c r="N250" i="2"/>
  <c r="N243" i="2"/>
  <c r="N237" i="2"/>
  <c r="N224" i="2"/>
  <c r="N218" i="2"/>
  <c r="N211" i="2"/>
  <c r="N205" i="2"/>
  <c r="N192" i="2"/>
  <c r="N186" i="2"/>
  <c r="N179" i="2"/>
  <c r="N173" i="2"/>
  <c r="N155" i="2"/>
  <c r="N144" i="2"/>
  <c r="N332" i="2"/>
  <c r="N326" i="2"/>
  <c r="N319" i="2"/>
  <c r="N313" i="2"/>
  <c r="N300" i="2"/>
  <c r="N294" i="2"/>
  <c r="N287" i="2"/>
  <c r="N281" i="2"/>
  <c r="N268" i="2"/>
  <c r="N262" i="2"/>
  <c r="N255" i="2"/>
  <c r="N249" i="2"/>
  <c r="N236" i="2"/>
  <c r="N230" i="2"/>
  <c r="N223" i="2"/>
  <c r="N217" i="2"/>
  <c r="N204" i="2"/>
  <c r="N198" i="2"/>
  <c r="N191" i="2"/>
  <c r="N185" i="2"/>
  <c r="N172" i="2"/>
  <c r="N164" i="2"/>
  <c r="N143" i="2"/>
  <c r="N131" i="2"/>
  <c r="N338" i="2"/>
  <c r="N331" i="2"/>
  <c r="N325" i="2"/>
  <c r="N312" i="2"/>
  <c r="N306" i="2"/>
  <c r="N299" i="2"/>
  <c r="N293" i="2"/>
  <c r="N280" i="2"/>
  <c r="N274" i="2"/>
  <c r="N267" i="2"/>
  <c r="N261" i="2"/>
  <c r="N248" i="2"/>
  <c r="N242" i="2"/>
  <c r="N235" i="2"/>
  <c r="N229" i="2"/>
  <c r="N216" i="2"/>
  <c r="N210" i="2"/>
  <c r="N203" i="2"/>
  <c r="N197" i="2"/>
  <c r="N184" i="2"/>
  <c r="N178" i="2"/>
  <c r="N171" i="2"/>
  <c r="N163" i="2"/>
  <c r="N152" i="2"/>
  <c r="N337" i="2"/>
  <c r="N324" i="2"/>
  <c r="N305" i="2"/>
  <c r="N292" i="2"/>
  <c r="N273" i="2"/>
  <c r="N260" i="2"/>
  <c r="N254" i="2"/>
  <c r="N247" i="2"/>
  <c r="N241" i="2"/>
  <c r="N228" i="2"/>
  <c r="N222" i="2"/>
  <c r="N215" i="2"/>
  <c r="N209" i="2"/>
  <c r="N196" i="2"/>
  <c r="N190" i="2"/>
  <c r="N183" i="2"/>
  <c r="N177" i="2"/>
  <c r="N151" i="2"/>
  <c r="N140" i="2"/>
  <c r="N127" i="2"/>
  <c r="N166" i="2"/>
  <c r="N162" i="2"/>
  <c r="N158" i="2"/>
  <c r="N154" i="2"/>
  <c r="N150" i="2"/>
  <c r="N146" i="2"/>
  <c r="N142" i="2"/>
  <c r="N138" i="2"/>
  <c r="N134" i="2"/>
  <c r="N130" i="2"/>
  <c r="N126" i="2"/>
  <c r="N122" i="2"/>
  <c r="N118" i="2"/>
  <c r="N114" i="2"/>
  <c r="N110" i="2"/>
  <c r="N106" i="2"/>
  <c r="N102" i="2"/>
  <c r="N98" i="2"/>
  <c r="N94" i="2"/>
  <c r="N90" i="2"/>
  <c r="N86" i="2"/>
  <c r="N82" i="2"/>
  <c r="N78" i="2"/>
  <c r="N74" i="2"/>
  <c r="N70" i="2"/>
  <c r="N66" i="2"/>
  <c r="N62" i="2"/>
  <c r="N58" i="2"/>
  <c r="N54" i="2"/>
  <c r="N50" i="2"/>
  <c r="N46" i="2"/>
  <c r="N42" i="2"/>
  <c r="N38" i="2"/>
  <c r="N34" i="2"/>
  <c r="N30" i="2"/>
  <c r="N26" i="2"/>
  <c r="N22" i="2"/>
  <c r="N18" i="2"/>
  <c r="N14" i="2"/>
  <c r="N10" i="2"/>
  <c r="N6" i="2"/>
  <c r="N165" i="2"/>
  <c r="N161" i="2"/>
  <c r="N157" i="2"/>
  <c r="N153" i="2"/>
  <c r="N149" i="2"/>
  <c r="N145" i="2"/>
  <c r="N141" i="2"/>
  <c r="N137" i="2"/>
  <c r="N133" i="2"/>
  <c r="N129" i="2"/>
  <c r="N125" i="2"/>
  <c r="N121" i="2"/>
  <c r="N117" i="2"/>
  <c r="N113" i="2"/>
  <c r="N109" i="2"/>
  <c r="N105" i="2"/>
  <c r="N101" i="2"/>
  <c r="N97" i="2"/>
  <c r="N93" i="2"/>
  <c r="N89" i="2"/>
  <c r="N85" i="2"/>
  <c r="N81" i="2"/>
  <c r="N77" i="2"/>
  <c r="N73" i="2"/>
  <c r="N69" i="2"/>
  <c r="N65" i="2"/>
  <c r="N61" i="2"/>
  <c r="N57" i="2"/>
  <c r="N53" i="2"/>
  <c r="N49" i="2"/>
  <c r="N45" i="2"/>
  <c r="N41" i="2"/>
  <c r="N37" i="2"/>
  <c r="N33" i="2"/>
  <c r="N29" i="2"/>
  <c r="N25" i="2"/>
  <c r="N21" i="2"/>
  <c r="N17" i="2"/>
  <c r="N13" i="2"/>
  <c r="N9" i="2"/>
  <c r="N5" i="2"/>
  <c r="N132" i="2"/>
  <c r="N128" i="2"/>
  <c r="N124" i="2"/>
  <c r="N120" i="2"/>
  <c r="N116" i="2"/>
  <c r="N112" i="2"/>
  <c r="N108" i="2"/>
  <c r="N104" i="2"/>
  <c r="N100" i="2"/>
  <c r="N96" i="2"/>
  <c r="N92" i="2"/>
  <c r="N88" i="2"/>
  <c r="N84" i="2"/>
  <c r="N80" i="2"/>
  <c r="N76" i="2"/>
  <c r="N72" i="2"/>
  <c r="N68" i="2"/>
  <c r="N64" i="2"/>
  <c r="N60" i="2"/>
  <c r="N56" i="2"/>
  <c r="N52" i="2"/>
  <c r="N48" i="2"/>
  <c r="N44" i="2"/>
  <c r="N40" i="2"/>
  <c r="N36" i="2"/>
  <c r="N32" i="2"/>
  <c r="N28" i="2"/>
  <c r="N24" i="2"/>
  <c r="N20" i="2"/>
  <c r="N16" i="2"/>
  <c r="N12" i="2"/>
  <c r="N8" i="2"/>
  <c r="N4" i="2"/>
  <c r="N119" i="2"/>
  <c r="N115" i="2"/>
  <c r="N111" i="2"/>
  <c r="N107" i="2"/>
  <c r="N103" i="2"/>
  <c r="N99" i="2"/>
  <c r="N95" i="2"/>
  <c r="N91" i="2"/>
  <c r="N87" i="2"/>
  <c r="N83" i="2"/>
  <c r="N79" i="2"/>
  <c r="N75" i="2"/>
  <c r="N71" i="2"/>
  <c r="N67" i="2"/>
  <c r="N63" i="2"/>
  <c r="N59" i="2"/>
  <c r="N55" i="2"/>
  <c r="N51" i="2"/>
  <c r="N47" i="2"/>
  <c r="N43" i="2"/>
  <c r="N39" i="2"/>
  <c r="N35" i="2"/>
  <c r="N31" i="2"/>
  <c r="N27" i="2"/>
  <c r="N23" i="2"/>
  <c r="N19" i="2"/>
  <c r="N15" i="2"/>
  <c r="N11" i="2"/>
  <c r="N7" i="2"/>
  <c r="N3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2" i="2"/>
  <c r="B8" i="1" l="1"/>
  <c r="B10" i="1" s="1"/>
  <c r="B12" i="1" s="1"/>
  <c r="B14" i="1" s="1"/>
  <c r="B16" i="1" s="1"/>
  <c r="B18" i="1" s="1"/>
  <c r="B20" i="1" s="1"/>
  <c r="B22" i="1" s="1"/>
  <c r="B24" i="1" s="1"/>
  <c r="B26" i="1" s="1"/>
  <c r="B28" i="1" s="1"/>
  <c r="B30" i="1" s="1"/>
  <c r="B32" i="1" s="1"/>
  <c r="B34" i="1" s="1"/>
  <c r="B36" i="1" s="1"/>
  <c r="B38" i="1" s="1"/>
  <c r="B40" i="1" s="1"/>
  <c r="B42" i="1" s="1"/>
  <c r="B44" i="1" s="1"/>
  <c r="B46" i="1" s="1"/>
  <c r="B48" i="1" s="1"/>
  <c r="B9" i="1"/>
  <c r="B11" i="1" s="1"/>
  <c r="B13" i="1" s="1"/>
  <c r="B15" i="1" s="1"/>
  <c r="B17" i="1" s="1"/>
  <c r="B19" i="1" s="1"/>
  <c r="B21" i="1" s="1"/>
  <c r="B23" i="1" s="1"/>
  <c r="B25" i="1" s="1"/>
  <c r="B27" i="1" s="1"/>
  <c r="B29" i="1" s="1"/>
  <c r="B31" i="1" s="1"/>
  <c r="B33" i="1" s="1"/>
  <c r="B35" i="1" s="1"/>
  <c r="B37" i="1" s="1"/>
  <c r="B39" i="1" s="1"/>
  <c r="B41" i="1" s="1"/>
  <c r="B43" i="1" s="1"/>
  <c r="B45" i="1" s="1"/>
  <c r="B47" i="1" s="1"/>
  <c r="B49" i="1" s="1"/>
  <c r="B5" i="1"/>
  <c r="B7" i="1" s="1"/>
  <c r="B6" i="1"/>
  <c r="B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<sst xmlns="http://schemas.openxmlformats.org/spreadsheetml/2006/main" count="70" uniqueCount="25">
  <si>
    <t>Wait Time</t>
  </si>
  <si>
    <t>Timestamp</t>
  </si>
  <si>
    <t>Ability</t>
  </si>
  <si>
    <t>Mantra</t>
  </si>
  <si>
    <t>Wait time to Timestamp</t>
  </si>
  <si>
    <t>Timestamp to Wait Time</t>
  </si>
  <si>
    <t>Feint</t>
  </si>
  <si>
    <t>Last Use</t>
  </si>
  <si>
    <t>Next Available</t>
  </si>
  <si>
    <t>Cooldown Calculators</t>
  </si>
  <si>
    <t>FFLogs Converter</t>
  </si>
  <si>
    <t>Regex</t>
  </si>
  <si>
    <t>Sable Centaura casts  Riddle Of Earth on Sable Centaura</t>
  </si>
  <si>
    <t>Sable Centaura casts  Mantra</t>
  </si>
  <si>
    <t>Sable Centaura casts  True North on Sable Centaura</t>
  </si>
  <si>
    <t>Sable Centaura casts  Arm's Length on Sable Centaura</t>
  </si>
  <si>
    <t>Output</t>
  </si>
  <si>
    <t>Cooldown Check</t>
  </si>
  <si>
    <t>Cooldown</t>
  </si>
  <si>
    <t>Riddle of Earth</t>
  </si>
  <si>
    <t>(^[a-zA-Z' ]{5,20} casts  )(([a-zA-Z0-9 ']*)( on [a-zA-Z' ]{5,20})|([a-zA-Z0-9 ']*))</t>
  </si>
  <si>
    <t>Riddle Of Earth</t>
  </si>
  <si>
    <t>True North</t>
  </si>
  <si>
    <t>Arm's Length</t>
  </si>
  <si>
    <t>Arm'S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</si>
</sst>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:ss.0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5" fontId="0" fillId="0" borderId="0" xfId="0" applyNumberFormat="1"/>
    <xf numFmtId="0" fontId="0" fillId="0" borderId="0" xfId="0" applyNumberFormat="1"/>
    <xf numFmtId="2" fontId="0" fillId="0" borderId="0" xfId="0" applyNumberFormat="1"/>
    <xf numFmtId="20" fontId="0" fillId="0" borderId="0" xfId="0" applyNumberFormat="1"/>
    <xf numFmtId="21" fontId="0" fillId="0" borderId="0" xfId="0" applyNumberFormat="1"/>
    <xf numFmtId="47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10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74585-C3AF-4657-9DEE-234EF2E76A97}">
  <sheetPr codeName="Sheet1"/>
  <dimension ref="A1:M54"/>
  <sheetViews>
    <sheetView workbookViewId="0">
      <selection activeCell="H5" sqref="H5"/>
    </sheetView>
  </sheetViews>
  <sheetFormatPr defaultRowHeight="15" x14ac:dyDescent="0.25"/>
  <cols>
    <col min="2" max="2" width="9.140625" style="1"/>
    <col min="5" max="5" width="9.140625" style="2"/>
    <col min="6" max="6" width="14.42578125" style="3" bestFit="1" customWidth="1"/>
  </cols>
  <sheetData>
    <row r="1" spans="1:13" x14ac:dyDescent="0.25">
      <c r="A1" s="8" t="s">
        <v>4</v>
      </c>
      <c r="B1" s="8"/>
      <c r="C1" s="8"/>
      <c r="E1" s="8" t="s">
        <v>5</v>
      </c>
      <c r="F1" s="8"/>
      <c r="G1" s="8"/>
      <c r="H1" t="s">
        <v>17</v>
      </c>
      <c r="J1" t="s">
        <v>9</v>
      </c>
    </row>
    <row r="2" spans="1:13" x14ac:dyDescent="0.25">
      <c r="A2" t="s">
        <v>0</v>
      </c>
      <c r="B2" t="s">
        <v>1</v>
      </c>
      <c r="C2" t="s">
        <v>2</v>
      </c>
      <c r="E2" t="s">
        <v>1</v>
      </c>
      <c r="F2" t="s">
        <v>2</v>
      </c>
      <c r="G2" s="3" t="s">
        <v>0</v>
      </c>
      <c r="J2" t="s">
        <v>2</v>
      </c>
      <c r="K2" t="s">
        <v>7</v>
      </c>
      <c r="L2" t="s">
        <v>18</v>
      </c>
      <c r="M2" t="s">
        <v>8</v>
      </c>
    </row>
    <row r="3" spans="1:13" x14ac:dyDescent="0.25">
      <c r="B3" s="4"/>
      <c r="D3" s="5"/>
      <c r="E3"/>
      <c r="F3"/>
      <c r="G3" s="3"/>
      <c r="H3" s="3"/>
      <c r="J3" t="s">
        <v>3</v>
      </c>
      <c r="K3" s="6"/>
      <c r="L3">
        <v>90</v>
      </c>
      <c r="M3" s="1">
        <f>$K3+TIME(0,0,L3)</f>
        <v>1.0416666666666667E-3</v>
      </c>
    </row>
    <row r="4" spans="1:13" x14ac:dyDescent="0.25">
      <c r="B4" s="4">
        <f>B3+A4</f>
        <v>0</v>
      </c>
      <c r="E4"/>
      <c r="F4"/>
      <c r="G4" s="3">
        <f t="shared" ref="G4:G19" si="0">IF((E4-E3)*24*60*60&lt;0,0,(E4-E3)*24*60*60)</f>
        <v>0</v>
      </c>
      <c r="H4" s="3"/>
      <c r="J4" t="s">
        <v>6</v>
      </c>
      <c r="K4" s="6"/>
      <c r="L4">
        <v>90</v>
      </c>
      <c r="M4" s="1">
        <f>$K4+TIME(0,0,L4)</f>
        <v>1.0416666666666667E-3</v>
      </c>
    </row>
    <row r="5" spans="1:13" x14ac:dyDescent="0.25">
      <c r="B5" s="1">
        <f>B3+TIME(0,0,A5)</f>
        <v>0</v>
      </c>
      <c r="E5" s="2">
        <v>7.1759259259259259E-4</v>
      </c>
      <c r="F5" t="s">
        <v>21</v>
      </c>
      <c r="G5" s="3">
        <f t="shared" si="0"/>
        <v>61.999999999999993</v>
      </c>
      <c r="H5" s="3" t="str" cm="1">
        <f t="array" ref="H5">IFERROR(IF((E5-LOOKUP(2,1/($F$2:$F4=$F5),$E$2:$E4))*24*60*60&gt;=VLOOKUP($F5,$J$3:$L$20,3,FALSE),"YES","NO"),"YES")</f>
        <v>YES</v>
      </c>
      <c r="I5" s="3"/>
      <c r="J5" t="s">
        <v>22</v>
      </c>
      <c r="L5">
        <v>45</v>
      </c>
      <c r="M5" s="1">
        <f>$K5+TIME(0,0,L5)</f>
        <v>5.2083333333333333E-4</v>
      </c>
    </row>
    <row r="6" spans="1:13" x14ac:dyDescent="0.25">
      <c r="B6" s="1">
        <f>B4+TIME(0,0,A6)</f>
        <v>0</v>
      </c>
      <c r="E6" s="2">
        <v>1.423611111111111E-3</v>
      </c>
      <c r="F6" t="s">
        <v>21</v>
      </c>
      <c r="G6" s="3">
        <f t="shared" si="0"/>
        <v>61</v>
      </c>
      <c r="H6" s="3" t="str" cm="1">
        <f t="array" ref="H6">IFERROR(IF((E6-LOOKUP(2,1/($F$2:$F5=$F6),$E$2:$E5))*24*60*60&gt;=VLOOKUP($F6,$J$3:$L$20,3,FALSE),"YES","NO"),"YES")</f>
        <v>YES</v>
      </c>
      <c r="I6" s="3"/>
      <c r="J6" t="s">
        <v>19</v>
      </c>
      <c r="L6">
        <v>60</v>
      </c>
    </row>
    <row r="7" spans="1:13" x14ac:dyDescent="0.25">
      <c r="B7" s="1">
        <f>B5+TIME(0,0,A7)</f>
        <v>0</v>
      </c>
      <c r="E7" s="2">
        <v>1.6782407407407406E-3</v>
      </c>
      <c r="F7" t="s">
        <v>3</v>
      </c>
      <c r="G7" s="3">
        <f t="shared" si="0"/>
        <v>22</v>
      </c>
      <c r="H7" s="3" t="str" cm="1">
        <f t="array" ref="H7">IFERROR(IF((E7-LOOKUP(2,1/($F$2:$F6=$F7),$E$2:$E6))*24*60*60&gt;=VLOOKUP($F7,$J$3:$L$20,3,FALSE),"YES","NO"),"YES")</f>
        <v>YES</v>
      </c>
      <c r="I7" s="3"/>
      <c r="J7" t="s">
        <v>24</v>
      </c>
      <c r="L7">
        <v>120</v>
      </c>
    </row>
    <row r="8" spans="1:13" x14ac:dyDescent="0.25">
      <c r="B8" s="1">
        <f t="shared" ref="B8:B49" si="1">B6+TIME(0,0,A8)</f>
        <v>0</v>
      </c>
      <c r="E8" s="2">
        <v>2.1990740740740738E-3</v>
      </c>
      <c r="F8" t="s">
        <v>22</v>
      </c>
      <c r="G8" s="3">
        <f t="shared" si="0"/>
        <v>44.999999999999986</v>
      </c>
      <c r="H8" s="3" t="str" cm="1">
        <f t="array" ref="H8">IFERROR(IF((E8-LOOKUP(2,1/($F$2:$F7=$F8),$E$2:$E7))*24*60*60&gt;=VLOOKUP($F8,$J$3:$L$20,3,FALSE),"YES","NO"),"YES")</f>
        <v>YES</v>
      </c>
      <c r="I8" s="3"/>
    </row>
    <row r="9" spans="1:13" x14ac:dyDescent="0.25">
      <c r="B9" s="1">
        <f t="shared" si="1"/>
        <v>0</v>
      </c>
      <c r="E9" s="2">
        <v>2.3263888888888887E-3</v>
      </c>
      <c r="F9" t="s">
        <v>21</v>
      </c>
      <c r="G9" s="3">
        <f t="shared" si="0"/>
        <v>11.000000000000007</v>
      </c>
      <c r="H9" s="3" t="str" cm="1">
        <f t="array" ref="H9">IFERROR(IF((E9-LOOKUP(2,1/($F$2:$F8=$F9),$E$2:$E8))*24*60*60&gt;=VLOOKUP($F9,$J$3:$L$20,3,FALSE),"YES","NO"),"YES")</f>
        <v>YES</v>
      </c>
      <c r="I9" s="3"/>
    </row>
    <row r="10" spans="1:13" x14ac:dyDescent="0.25">
      <c r="B10" s="1">
        <f t="shared" si="1"/>
        <v>0</v>
      </c>
      <c r="E10" s="2">
        <v>2.9629629629629628E-3</v>
      </c>
      <c r="F10" t="s">
        <v>3</v>
      </c>
      <c r="G10" s="3">
        <f t="shared" si="0"/>
        <v>55.000000000000007</v>
      </c>
      <c r="H10" s="3" t="str" cm="1">
        <f t="array" ref="H10">IFERROR(IF((E10-LOOKUP(2,1/($F$2:$F9=$F10),$E$2:$E9))*24*60*60&gt;=VLOOKUP($F10,$J$3:$L$20,3,FALSE),"YES","NO"),"YES")</f>
        <v>YES</v>
      </c>
      <c r="I10" s="3"/>
    </row>
    <row r="11" spans="1:13" x14ac:dyDescent="0.25">
      <c r="B11" s="1">
        <f t="shared" si="1"/>
        <v>0</v>
      </c>
      <c r="E11" s="2">
        <v>4.1550925925925922E-3</v>
      </c>
      <c r="F11" t="s">
        <v>21</v>
      </c>
      <c r="G11" s="3">
        <f t="shared" si="0"/>
        <v>102.99999999999999</v>
      </c>
      <c r="H11" s="3" t="str" cm="1">
        <f t="array" ref="H11">IFERROR(IF((E11-LOOKUP(2,1/($F$2:$F10=$F11),$E$2:$E10))*24*60*60&gt;=VLOOKUP($F11,$J$3:$L$20,3,FALSE),"YES","NO"),"YES")</f>
        <v>YES</v>
      </c>
      <c r="I11" s="3"/>
    </row>
    <row r="12" spans="1:13" x14ac:dyDescent="0.25">
      <c r="B12" s="1">
        <f t="shared" si="1"/>
        <v>0</v>
      </c>
      <c r="E12" s="2">
        <v>4.1666666666666666E-3</v>
      </c>
      <c r="F12" t="s">
        <v>3</v>
      </c>
      <c r="G12" s="3">
        <f t="shared" si="0"/>
        <v>1.0000000000000315</v>
      </c>
      <c r="H12" s="3" t="str" cm="1">
        <f t="array" ref="H12">IFERROR(IF((E12-LOOKUP(2,1/($F$2:$F11=$F12),$E$2:$E11))*24*60*60&gt;=VLOOKUP($F12,$J$3:$L$20,3,FALSE),"YES","NO"),"YES")</f>
        <v>YES</v>
      </c>
    </row>
    <row r="13" spans="1:13" x14ac:dyDescent="0.25">
      <c r="B13" s="1">
        <f t="shared" si="1"/>
        <v>0</v>
      </c>
      <c r="E13" s="2">
        <v>4.8726851851851848E-3</v>
      </c>
      <c r="F13" t="s">
        <v>21</v>
      </c>
      <c r="G13" s="3">
        <f t="shared" si="0"/>
        <v>60.999999999999972</v>
      </c>
      <c r="H13" s="3" t="str" cm="1">
        <f t="array" ref="H13">IFERROR(IF((E13-LOOKUP(2,1/($F$2:$F12=$F13),$E$2:$E12))*24*60*60&gt;=VLOOKUP($F13,$J$3:$L$20,3,FALSE),"YES","NO"),"YES")</f>
        <v>YES</v>
      </c>
    </row>
    <row r="14" spans="1:13" x14ac:dyDescent="0.25">
      <c r="B14" s="1">
        <f t="shared" si="1"/>
        <v>0</v>
      </c>
      <c r="E14" s="2">
        <v>5.4861111111111109E-3</v>
      </c>
      <c r="F14" t="s">
        <v>22</v>
      </c>
      <c r="G14" s="3">
        <f t="shared" si="0"/>
        <v>53.000000000000021</v>
      </c>
      <c r="H14" s="3" t="str" cm="1">
        <f t="array" ref="H14">IFERROR(IF((E14-LOOKUP(2,1/($F$2:$F13=$F14),$E$2:$E13))*24*60*60&gt;=VLOOKUP($F14,$J$3:$L$20,3,FALSE),"YES","NO"),"YES")</f>
        <v>YES</v>
      </c>
    </row>
    <row r="15" spans="1:13" x14ac:dyDescent="0.25">
      <c r="B15" s="1">
        <f t="shared" si="1"/>
        <v>0</v>
      </c>
      <c r="E15" s="2">
        <v>5.8564814814814816E-3</v>
      </c>
      <c r="F15" t="s">
        <v>22</v>
      </c>
      <c r="G15" s="3">
        <f t="shared" si="0"/>
        <v>32.000000000000036</v>
      </c>
      <c r="H15" s="3" t="str" cm="1">
        <f t="array" ref="H15">IFERROR(IF((E15-LOOKUP(2,1/($F$2:$F14=$F15),$E$2:$E14))*24*60*60&gt;=VLOOKUP($F15,$J$3:$L$20,3,FALSE),"YES","NO"),"YES")</f>
        <v>NO</v>
      </c>
    </row>
    <row r="16" spans="1:13" x14ac:dyDescent="0.25">
      <c r="B16" s="1">
        <f t="shared" si="1"/>
        <v>0</v>
      </c>
      <c r="E16" s="2">
        <v>5.8680555555555552E-3</v>
      </c>
      <c r="F16" t="s">
        <v>21</v>
      </c>
      <c r="G16" s="3">
        <f t="shared" si="0"/>
        <v>0.99999999999995648</v>
      </c>
      <c r="H16" s="3" t="str" cm="1">
        <f t="array" ref="H16">IFERROR(IF((E16-LOOKUP(2,1/($F$2:$F15=$F16),$E$2:$E15))*24*60*60&gt;=VLOOKUP($F16,$J$3:$L$20,3,FALSE),"YES","NO"),"YES")</f>
        <v>YES</v>
      </c>
    </row>
    <row r="17" spans="2:10" x14ac:dyDescent="0.25">
      <c r="B17" s="1">
        <f t="shared" si="1"/>
        <v>0</v>
      </c>
      <c r="E17" s="2">
        <v>6.0879629629629626E-3</v>
      </c>
      <c r="F17" t="s">
        <v>3</v>
      </c>
      <c r="G17" s="3">
        <f t="shared" si="0"/>
        <v>19</v>
      </c>
      <c r="H17" s="3" t="str" cm="1">
        <f t="array" ref="H17">IFERROR(IF((E17-LOOKUP(2,1/($F$2:$F16=$F17),$E$2:$E16))*24*60*60&gt;=VLOOKUP($F17,$J$3:$L$20,3,FALSE),"YES","NO"),"YES")</f>
        <v>YES</v>
      </c>
    </row>
    <row r="18" spans="2:10" x14ac:dyDescent="0.25">
      <c r="B18" s="1">
        <f t="shared" si="1"/>
        <v>0</v>
      </c>
      <c r="E18" s="2">
        <v>6.168981481481481E-3</v>
      </c>
      <c r="F18" t="s">
        <v>23</v>
      </c>
      <c r="G18" s="3">
        <f t="shared" si="0"/>
        <v>6.9999999999999947</v>
      </c>
      <c r="H18" s="3" t="str" cm="1">
        <f t="array" ref="H18">IFERROR(IF((E18-LOOKUP(2,1/($F$2:$F17=$F18),$E$2:$E17))*24*60*60&gt;=VLOOKUP($F18,$J$3:$L$20,3,FALSE),"YES","NO"),"YES")</f>
        <v>YES</v>
      </c>
    </row>
    <row r="19" spans="2:10" x14ac:dyDescent="0.25">
      <c r="B19" s="1">
        <f t="shared" si="1"/>
        <v>0</v>
      </c>
      <c r="E19" s="2">
        <v>6.5740740740740733E-3</v>
      </c>
      <c r="F19" t="s">
        <v>22</v>
      </c>
      <c r="G19" s="3">
        <f t="shared" si="0"/>
        <v>34.999999999999979</v>
      </c>
      <c r="H19" s="3" t="str" cm="1">
        <f t="array" ref="H19">IFERROR(IF((E19-LOOKUP(2,1/($F$2:$F18=$F19),$E$2:$E18))*24*60*60&gt;=VLOOKUP($F19,$J$3:$L$20,3,FALSE),"YES","NO"),"YES")</f>
        <v>YES</v>
      </c>
    </row>
    <row r="20" spans="2:10" x14ac:dyDescent="0.25">
      <c r="B20" s="1">
        <f t="shared" si="1"/>
        <v>0</v>
      </c>
      <c r="E20" s="2">
        <v>6.5856481481481478E-3</v>
      </c>
      <c r="F20" t="s">
        <v>21</v>
      </c>
      <c r="G20" s="3">
        <f t="shared" ref="G20:G26" si="2">IF((E20-E19)*24*60*60&lt;0,0,(E20-E19)*24*60*60)</f>
        <v>1.0000000000000315</v>
      </c>
      <c r="H20" s="3" t="str" cm="1">
        <f t="array" ref="H20">IFERROR(IF((E20-LOOKUP(2,1/($F$2:$F19=$F20),$E$2:$E19))*24*60*60&gt;=VLOOKUP($F20,$J$3:$L$20,3,FALSE),"YES","NO"),"YES")</f>
        <v>YES</v>
      </c>
    </row>
    <row r="21" spans="2:10" x14ac:dyDescent="0.25">
      <c r="B21" s="1">
        <f t="shared" si="1"/>
        <v>0</v>
      </c>
      <c r="E21" s="2">
        <v>7.0486111111111105E-3</v>
      </c>
      <c r="F21" t="s">
        <v>22</v>
      </c>
      <c r="G21" s="3">
        <f t="shared" si="2"/>
        <v>39.999999999999986</v>
      </c>
      <c r="H21" s="3" t="str" cm="1">
        <f t="array" ref="H21">IFERROR(IF((E21-LOOKUP(2,1/($F$2:$F20=$F21),$E$2:$E20))*24*60*60&gt;=VLOOKUP($F21,$J$3:$L$20,3,FALSE),"YES","NO"),"YES")</f>
        <v>NO</v>
      </c>
    </row>
    <row r="22" spans="2:10" x14ac:dyDescent="0.25">
      <c r="B22" s="1">
        <f t="shared" si="1"/>
        <v>0</v>
      </c>
      <c r="E22" s="2">
        <v>7.1412037037037034E-3</v>
      </c>
      <c r="F22" t="s">
        <v>3</v>
      </c>
      <c r="G22" s="3">
        <f t="shared" si="2"/>
        <v>8.0000000000000266</v>
      </c>
      <c r="H22" s="3" t="str" cm="1">
        <f t="array" ref="H22">IFERROR(IF((E22-LOOKUP(2,1/($F$2:$F21=$F22),$E$2:$E21))*24*60*60&gt;=VLOOKUP($F22,$J$3:$L$20,3,FALSE),"YES","NO"),"YES")</f>
        <v>YES</v>
      </c>
      <c r="J22" s="2"/>
    </row>
    <row r="23" spans="2:10" x14ac:dyDescent="0.25">
      <c r="B23" s="1">
        <f t="shared" si="1"/>
        <v>0</v>
      </c>
      <c r="E23" s="2">
        <v>7.3263888888888884E-3</v>
      </c>
      <c r="F23" t="s">
        <v>21</v>
      </c>
      <c r="G23" s="3">
        <f t="shared" si="2"/>
        <v>15.999999999999977</v>
      </c>
      <c r="H23" s="3" t="str" cm="1">
        <f t="array" ref="H23">IFERROR(IF((E23-LOOKUP(2,1/($F$2:$F22=$F23),$E$2:$E22))*24*60*60&gt;=VLOOKUP($F23,$J$3:$L$20,3,FALSE),"YES","NO"),"YES")</f>
        <v>YES</v>
      </c>
    </row>
    <row r="24" spans="2:10" x14ac:dyDescent="0.25">
      <c r="B24" s="1">
        <f t="shared" si="1"/>
        <v>0</v>
      </c>
      <c r="E24" s="2">
        <v>8.2175925925925923E-3</v>
      </c>
      <c r="F24" t="s">
        <v>21</v>
      </c>
      <c r="G24" s="3">
        <f t="shared" si="2"/>
        <v>77.000000000000014</v>
      </c>
      <c r="H24" s="3" t="str" cm="1">
        <f t="array" ref="H24">IFERROR(IF((E24-LOOKUP(2,1/($F$2:$F23=$F24),$E$2:$E23))*24*60*60&gt;=VLOOKUP($F24,$J$3:$L$20,3,FALSE),"YES","NO"),"YES")</f>
        <v>YES</v>
      </c>
    </row>
    <row r="25" spans="2:10" x14ac:dyDescent="0.25">
      <c r="B25" s="1">
        <f t="shared" si="1"/>
        <v>0</v>
      </c>
      <c r="E25" s="2">
        <v>8.2407407407407412E-3</v>
      </c>
      <c r="F25" t="s">
        <v>22</v>
      </c>
      <c r="G25" s="3">
        <f t="shared" si="2"/>
        <v>2.0000000000000631</v>
      </c>
      <c r="H25" s="3" t="str" cm="1">
        <f t="array" ref="H25">IFERROR(IF((E25-LOOKUP(2,1/($F$2:$F24=$F25),$E$2:$E24))*24*60*60&gt;=VLOOKUP($F25,$J$3:$L$20,3,FALSE),"YES","NO"),"YES")</f>
        <v>YES</v>
      </c>
    </row>
    <row r="26" spans="2:10" x14ac:dyDescent="0.25">
      <c r="B26" s="1">
        <f t="shared" si="1"/>
        <v>0</v>
      </c>
      <c r="E26" s="2">
        <v>8.8888888888888889E-3</v>
      </c>
      <c r="F26" t="s">
        <v>3</v>
      </c>
      <c r="G26" s="3">
        <f t="shared" si="2"/>
        <v>55.999999999999957</v>
      </c>
      <c r="H26" s="3" t="str" cm="1">
        <f t="array" ref="H26">IFERROR(IF((E26-LOOKUP(2,1/($F$2:$F25=$F26),$E$2:$E25))*24*60*60&gt;=VLOOKUP($F26,$J$3:$L$20,3,FALSE),"YES","NO"),"YES")</f>
        <v>YES</v>
      </c>
      <c r="I26">
        <f>VLOOKUP($F26,$J$3:$L$20,3,FALSE)</f>
        <v>90</v>
      </c>
    </row>
    <row r="27" spans="2:10" x14ac:dyDescent="0.25">
      <c r="B27" s="1">
        <f t="shared" si="1"/>
        <v>0</v>
      </c>
      <c r="F27"/>
      <c r="G27" s="3">
        <f>IF((E27-E26)*24*60*60&lt;0,0,(E27-E26)*24*60*60)</f>
        <v>0</v>
      </c>
      <c r="H27" s="3" t="str" cm="1">
        <f t="array" ref="H27">IFERROR(IF((E27-LOOKUP(2,1/($F$2:$F26=$F27),$E$2:$E26))*24*60*60&gt;=VLOOKUP($F27,$J$3:$L$20,3,FALSE),"YES","NO"),"YES")</f>
        <v>YES</v>
      </c>
    </row>
    <row r="28" spans="2:10" x14ac:dyDescent="0.25">
      <c r="B28" s="1">
        <f t="shared" si="1"/>
        <v>0</v>
      </c>
      <c r="F28"/>
      <c r="G28" s="3">
        <f t="shared" ref="G28:G54" si="3">IF((E28-E27)*24*60*60&lt;0,0,(E28-E27)*24*60*60)</f>
        <v>0</v>
      </c>
      <c r="H28" s="3" t="str" cm="1">
        <f t="array" ref="H28">IFERROR(IF((E28-LOOKUP(2,1/($F$2:$F27=$F28),$E$2:$E27))*24*60*60&gt;=VLOOKUP($F28,$J$3:$L$20,3,FALSE),"YES","NO"),"YES")</f>
        <v>YES</v>
      </c>
    </row>
    <row r="29" spans="2:10" x14ac:dyDescent="0.25">
      <c r="B29" s="1">
        <f t="shared" si="1"/>
        <v>0</v>
      </c>
      <c r="F29"/>
      <c r="G29" s="3">
        <f t="shared" si="3"/>
        <v>0</v>
      </c>
      <c r="H29" s="3" t="str" cm="1">
        <f t="array" ref="H29">IFERROR(IF((E29-LOOKUP(2,1/($F$2:$F28=$F29),$E$2:$E28))*24*60*60&gt;=VLOOKUP($F29,$J$3:$L$20,3,FALSE),"YES","NO"),"YES")</f>
        <v>YES</v>
      </c>
    </row>
    <row r="30" spans="2:10" x14ac:dyDescent="0.25">
      <c r="B30" s="1">
        <f t="shared" si="1"/>
        <v>0</v>
      </c>
      <c r="F30"/>
      <c r="G30" s="3">
        <f t="shared" si="3"/>
        <v>0</v>
      </c>
      <c r="H30" s="3" t="str" cm="1">
        <f t="array" ref="H30">IFERROR(IF((E30-LOOKUP(2,1/($F$2:$F29=$F30),$E$2:$E29))*24*60*60&gt;=VLOOKUP($F30,$J$3:$L$20,3,FALSE),"YES","NO"),"YES")</f>
        <v>YES</v>
      </c>
    </row>
    <row r="31" spans="2:10" x14ac:dyDescent="0.25">
      <c r="B31" s="1">
        <f t="shared" si="1"/>
        <v>0</v>
      </c>
      <c r="F31"/>
      <c r="G31" s="3">
        <f t="shared" si="3"/>
        <v>0</v>
      </c>
      <c r="H31" s="3" t="str" cm="1">
        <f t="array" ref="H31">IFERROR(IF((E31-LOOKUP(2,1/($F$2:$F30=$F31),$E$2:$E30))*24*60*60&gt;=VLOOKUP($F31,$J$3:$L$20,3,FALSE),"YES","NO"),"YES")</f>
        <v>YES</v>
      </c>
    </row>
    <row r="32" spans="2:10" x14ac:dyDescent="0.25">
      <c r="B32" s="1">
        <f t="shared" si="1"/>
        <v>0</v>
      </c>
      <c r="F32"/>
      <c r="G32" s="3">
        <f t="shared" si="3"/>
        <v>0</v>
      </c>
      <c r="H32" s="3" t="str" cm="1">
        <f t="array" ref="H32">IFERROR(IF((E32-LOOKUP(2,1/($F$2:$F31=$F32),$E$2:$E31))*24*60*60&gt;=VLOOKUP($F32,$J$3:$L$20,3,FALSE),"YES","NO"),"YES")</f>
        <v>YES</v>
      </c>
    </row>
    <row r="33" spans="2:8" x14ac:dyDescent="0.25">
      <c r="B33" s="1">
        <f t="shared" si="1"/>
        <v>0</v>
      </c>
      <c r="F33"/>
      <c r="G33" s="3">
        <f t="shared" si="3"/>
        <v>0</v>
      </c>
      <c r="H33" s="3" t="str" cm="1">
        <f t="array" ref="H33">IFERROR(IF((E33-LOOKUP(2,1/($F$2:$F32=$F33),$E$2:$E32))*24*60*60&gt;=VLOOKUP($F33,$J$3:$L$20,3,FALSE),"YES","NO"),"YES")</f>
        <v>YES</v>
      </c>
    </row>
    <row r="34" spans="2:8" x14ac:dyDescent="0.25">
      <c r="B34" s="1">
        <f t="shared" si="1"/>
        <v>0</v>
      </c>
      <c r="F34"/>
      <c r="G34" s="3">
        <f t="shared" si="3"/>
        <v>0</v>
      </c>
      <c r="H34" s="3" t="str" cm="1">
        <f t="array" ref="H34">IFERROR(IF((E34-LOOKUP(2,1/($F$2:$F33=$F34),$E$2:$E33))*24*60*60&gt;=VLOOKUP($F34,$J$3:$L$20,3,FALSE),"YES","NO"),"YES")</f>
        <v>YES</v>
      </c>
    </row>
    <row r="35" spans="2:8" x14ac:dyDescent="0.25">
      <c r="B35" s="1">
        <f t="shared" si="1"/>
        <v>0</v>
      </c>
      <c r="F35"/>
      <c r="G35" s="3">
        <f t="shared" si="3"/>
        <v>0</v>
      </c>
      <c r="H35" s="3" t="str" cm="1">
        <f t="array" ref="H35">IFERROR(IF((E35-LOOKUP(2,1/($F$2:$F34=$F35),$E$2:$E34))*24*60*60&gt;=VLOOKUP($F35,$J$3:$L$20,3,FALSE),"YES","NO"),"YES")</f>
        <v>YES</v>
      </c>
    </row>
    <row r="36" spans="2:8" x14ac:dyDescent="0.25">
      <c r="B36" s="1">
        <f t="shared" si="1"/>
        <v>0</v>
      </c>
      <c r="F36"/>
      <c r="G36" s="3">
        <f t="shared" si="3"/>
        <v>0</v>
      </c>
      <c r="H36" s="3" t="str" cm="1">
        <f t="array" ref="H36">IFERROR(IF((E36-LOOKUP(2,1/($F$2:$F35=$F36),$E$2:$E35))*24*60*60&gt;=VLOOKUP($F36,$J$3:$L$20,3,FALSE),"YES","NO"),"YES")</f>
        <v>YES</v>
      </c>
    </row>
    <row r="37" spans="2:8" x14ac:dyDescent="0.25">
      <c r="B37" s="1">
        <f t="shared" si="1"/>
        <v>0</v>
      </c>
      <c r="F37"/>
      <c r="G37" s="3">
        <f t="shared" si="3"/>
        <v>0</v>
      </c>
      <c r="H37" s="3" t="str" cm="1">
        <f t="array" ref="H37">IFERROR(IF((E37-LOOKUP(2,1/($F$2:$F36=$F37),$E$2:$E36))*24*60*60&gt;=VLOOKUP($F37,$J$3:$L$20,3,FALSE),"YES","NO"),"YES")</f>
        <v>YES</v>
      </c>
    </row>
    <row r="38" spans="2:8" x14ac:dyDescent="0.25">
      <c r="B38" s="1">
        <f t="shared" si="1"/>
        <v>0</v>
      </c>
      <c r="F38"/>
      <c r="G38" s="3">
        <f t="shared" si="3"/>
        <v>0</v>
      </c>
      <c r="H38" s="3" t="str" cm="1">
        <f t="array" ref="H38">IFERROR(IF((E38-LOOKUP(2,1/($F$2:$F37=$F38),$E$2:$E37))*24*60*60&gt;=VLOOKUP($F38,$J$3:$L$20,3,FALSE),"YES","NO"),"YES")</f>
        <v>YES</v>
      </c>
    </row>
    <row r="39" spans="2:8" x14ac:dyDescent="0.25">
      <c r="B39" s="1">
        <f t="shared" si="1"/>
        <v>0</v>
      </c>
      <c r="F39"/>
      <c r="G39" s="3">
        <f t="shared" si="3"/>
        <v>0</v>
      </c>
      <c r="H39" s="3" t="str" cm="1">
        <f t="array" ref="H39">IFERROR(IF((E39-LOOKUP(2,1/($F$2:$F38=$F39),$E$2:$E38))*24*60*60&gt;=VLOOKUP($F39,$J$3:$L$20,3,FALSE),"YES","NO"),"YES")</f>
        <v>YES</v>
      </c>
    </row>
    <row r="40" spans="2:8" x14ac:dyDescent="0.25">
      <c r="B40" s="1">
        <f t="shared" si="1"/>
        <v>0</v>
      </c>
      <c r="F40"/>
      <c r="G40" s="3">
        <f t="shared" si="3"/>
        <v>0</v>
      </c>
      <c r="H40" s="3" t="str" cm="1">
        <f t="array" ref="H40">IFERROR(IF((E40-LOOKUP(2,1/($F$2:$F39=$F40),$E$2:$E39))*24*60*60&gt;=VLOOKUP($F40,$J$3:$L$20,3,FALSE),"YES","NO"),"YES")</f>
        <v>YES</v>
      </c>
    </row>
    <row r="41" spans="2:8" x14ac:dyDescent="0.25">
      <c r="B41" s="1">
        <f t="shared" si="1"/>
        <v>0</v>
      </c>
      <c r="F41"/>
      <c r="G41" s="3">
        <f t="shared" si="3"/>
        <v>0</v>
      </c>
      <c r="H41" s="3" t="str" cm="1">
        <f t="array" ref="H41">IFERROR(IF((E41-LOOKUP(2,1/($F$2:$F40=$F41),$E$2:$E40))*24*60*60&gt;=VLOOKUP($F41,$J$3:$L$20,3,FALSE),"YES","NO"),"YES")</f>
        <v>YES</v>
      </c>
    </row>
    <row r="42" spans="2:8" x14ac:dyDescent="0.25">
      <c r="B42" s="1">
        <f t="shared" si="1"/>
        <v>0</v>
      </c>
      <c r="F42"/>
      <c r="G42" s="3">
        <f t="shared" si="3"/>
        <v>0</v>
      </c>
      <c r="H42" s="3" t="str" cm="1">
        <f t="array" ref="H42">IFERROR(IF((E42-LOOKUP(2,1/($F$2:$F41=$F42),$E$2:$E41))*24*60*60&gt;=VLOOKUP($F42,$J$3:$L$20,3,FALSE),"YES","NO"),"YES")</f>
        <v>YES</v>
      </c>
    </row>
    <row r="43" spans="2:8" x14ac:dyDescent="0.25">
      <c r="B43" s="1">
        <f t="shared" si="1"/>
        <v>0</v>
      </c>
      <c r="F43"/>
      <c r="G43" s="3">
        <f t="shared" si="3"/>
        <v>0</v>
      </c>
      <c r="H43" s="3" t="str" cm="1">
        <f t="array" ref="H43">IFERROR(IF((E43-LOOKUP(2,1/($F$2:$F42=$F43),$E$2:$E42))*24*60*60&gt;=VLOOKUP($F43,$J$3:$L$20,3,FALSE),"YES","NO"),"YES")</f>
        <v>YES</v>
      </c>
    </row>
    <row r="44" spans="2:8" x14ac:dyDescent="0.25">
      <c r="B44" s="1">
        <f t="shared" si="1"/>
        <v>0</v>
      </c>
      <c r="F44"/>
      <c r="G44" s="3">
        <f t="shared" si="3"/>
        <v>0</v>
      </c>
      <c r="H44" s="3" t="str" cm="1">
        <f t="array" ref="H44">IFERROR(IF((E44-LOOKUP(2,1/($F$2:$F43=$F44),$E$2:$E43))*24*60*60&gt;=VLOOKUP($F44,$J$3:$L$20,3,FALSE),"YES","NO"),"YES")</f>
        <v>YES</v>
      </c>
    </row>
    <row r="45" spans="2:8" x14ac:dyDescent="0.25">
      <c r="B45" s="1">
        <f t="shared" si="1"/>
        <v>0</v>
      </c>
      <c r="F45"/>
      <c r="G45" s="3">
        <f t="shared" si="3"/>
        <v>0</v>
      </c>
      <c r="H45" s="3" t="str" cm="1">
        <f t="array" ref="H45">IFERROR(IF((E45-LOOKUP(2,1/($F$2:$F44=$F45),$E$2:$E44))*24*60*60&gt;=VLOOKUP($F45,$J$3:$L$20,3,FALSE),"YES","NO"),"YES")</f>
        <v>YES</v>
      </c>
    </row>
    <row r="46" spans="2:8" x14ac:dyDescent="0.25">
      <c r="B46" s="1">
        <f t="shared" si="1"/>
        <v>0</v>
      </c>
      <c r="F46"/>
      <c r="G46" s="3">
        <f t="shared" si="3"/>
        <v>0</v>
      </c>
      <c r="H46" s="3" t="str" cm="1">
        <f t="array" ref="H46">IFERROR(IF((E46-LOOKUP(2,1/($F$2:$F45=$F46),$E$2:$E45))*24*60*60&gt;=VLOOKUP($F46,$J$3:$L$20,3,FALSE),"YES","NO"),"YES")</f>
        <v>YES</v>
      </c>
    </row>
    <row r="47" spans="2:8" x14ac:dyDescent="0.25">
      <c r="B47" s="1">
        <f t="shared" si="1"/>
        <v>0</v>
      </c>
      <c r="F47"/>
      <c r="G47" s="3">
        <f t="shared" si="3"/>
        <v>0</v>
      </c>
      <c r="H47" s="3" t="str" cm="1">
        <f t="array" ref="H47">IFERROR(IF((E47-LOOKUP(2,1/($F$2:$F46=$F47),$E$2:$E46))*24*60*60&gt;=VLOOKUP($F47,$J$3:$L$20,3,FALSE),"YES","NO"),"YES")</f>
        <v>YES</v>
      </c>
    </row>
    <row r="48" spans="2:8" x14ac:dyDescent="0.25">
      <c r="B48" s="1">
        <f t="shared" si="1"/>
        <v>0</v>
      </c>
      <c r="F48"/>
      <c r="G48" s="3">
        <f t="shared" si="3"/>
        <v>0</v>
      </c>
      <c r="H48" s="3" t="str" cm="1">
        <f t="array" ref="H48">IFERROR(IF((E48-LOOKUP(2,1/($F$2:$F47=$F48),$E$2:$E47))*24*60*60&gt;=VLOOKUP($F48,$J$3:$L$20,3,FALSE),"YES","NO"),"YES")</f>
        <v>YES</v>
      </c>
    </row>
    <row r="49" spans="2:8" x14ac:dyDescent="0.25">
      <c r="B49" s="1">
        <f t="shared" si="1"/>
        <v>0</v>
      </c>
      <c r="F49"/>
      <c r="G49" s="3">
        <f t="shared" si="3"/>
        <v>0</v>
      </c>
      <c r="H49" s="3" t="str" cm="1">
        <f t="array" ref="H49">IFERROR(IF((E49-LOOKUP(2,1/($F$2:$F48=$F49),$E$2:$E48))*24*60*60&gt;=VLOOKUP($F49,$J$3:$L$20,3,FALSE),"YES","NO"),"YES")</f>
        <v>YES</v>
      </c>
    </row>
    <row r="50" spans="2:8" x14ac:dyDescent="0.25">
      <c r="F50"/>
      <c r="G50" s="3">
        <f t="shared" si="3"/>
        <v>0</v>
      </c>
      <c r="H50" s="3" t="str" cm="1">
        <f t="array" ref="H50">IFERROR(IF((E50-LOOKUP(2,1/($F$2:$F49=$F50),$E$2:$E49))*24*60*60&gt;=VLOOKUP($F50,$J$3:$L$20,3,FALSE),"YES","NO"),"YES")</f>
        <v>YES</v>
      </c>
    </row>
    <row r="51" spans="2:8" x14ac:dyDescent="0.25">
      <c r="F51"/>
      <c r="G51" s="3">
        <f t="shared" si="3"/>
        <v>0</v>
      </c>
    </row>
    <row r="52" spans="2:8" x14ac:dyDescent="0.25">
      <c r="F52"/>
      <c r="G52" s="3">
        <f t="shared" si="3"/>
        <v>0</v>
      </c>
    </row>
    <row r="53" spans="2:8" x14ac:dyDescent="0.25">
      <c r="G53" s="3">
        <f t="shared" si="3"/>
        <v>0</v>
      </c>
    </row>
    <row r="54" spans="2:8" x14ac:dyDescent="0.25">
      <c r="G54" s="3">
        <f t="shared" si="3"/>
        <v>0</v>
      </c>
    </row>
  </sheetData>
  <mergeCells count="2">
    <mergeCell ref="A1:C1"/>
    <mergeCell ref="E1:G1"/>
  </mergeCells>
  <conditionalFormatting sqref="H5:H50">
    <cfRule type="cellIs" dxfId="0" priority="1" operator="equal">
      <formula>"YES"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EDA8C-A02D-459E-9E54-854D3AA323CA}">
  <sheetPr codeName="Sheet2"/>
  <dimension ref="A1:O342"/>
  <sheetViews>
    <sheetView tabSelected="1" zoomScaleNormal="100" workbookViewId="0">
      <selection activeCell="J13" sqref="J13"/>
    </sheetView>
  </sheetViews>
  <sheetFormatPr defaultRowHeight="15" x14ac:dyDescent="0.25"/>
  <cols>
    <col min="13" max="13" width="9.140625" style="2"/>
    <col min="14" max="14" width="14.85546875" bestFit="1" customWidth="1"/>
    <col min="15" max="15" width="9.140625" style="3"/>
  </cols>
  <sheetData>
    <row r="1" spans="1:15" x14ac:dyDescent="0.25">
      <c r="A1" t="s">
        <v>10</v>
      </c>
      <c r="C1" t="s">
        <v>11</v>
      </c>
      <c r="D1" t="s">
        <v>20</v>
      </c>
      <c r="L1" t="s">
        <v>16</v>
      </c>
      <c r="M1" t="s">
        <v>1</v>
      </c>
      <c r="N1" t="s">
        <v>2</v>
      </c>
      <c r="O1" s="3" t="s">
        <v>0</v>
      </c>
    </row>
    <row r="2" spans="1:15" x14ac:dyDescent="0.25">
      <c r="A2" s="7">
        <v>7.2181712962962965E-4</v>
      </c>
      <c r="B2" t="s">
        <v>12</v>
      </c>
      <c r="M2" s="2">
        <f>MROUND($A2,1/86400)</f>
        <v>7.1759259259259259E-4</v>
      </c>
      <c r="N2" t="str" cm="1">
        <f t="array" ref="N2">ConvertToSkill(B2,$D$1)</f>
        <v>Riddle Of Earth</v>
      </c>
    </row>
    <row r="3" spans="1:15" x14ac:dyDescent="0.25">
      <c r="A3" s="7">
        <v>1.4232870370370369E-3</v>
      </c>
      <c r="B3" t="s">
        <v>12</v>
      </c>
      <c r="M3" s="2">
        <f t="shared" ref="M3:M66" si="0">MROUND($A3,1/86400)</f>
        <v>1.423611111111111E-3</v>
      </c>
      <c r="N3" t="str" cm="1">
        <f t="array" ref="N3">ConvertToSkill(B3,$D$1)</f>
        <v>Riddle Of Earth</v>
      </c>
      <c r="O3" s="3">
        <f t="shared" ref="O2:O65" si="1">(M3-M2)*24*60*60</f>
        <v>61</v>
      </c>
    </row>
    <row r="4" spans="1:15" x14ac:dyDescent="0.25">
      <c r="A4" s="7">
        <v>1.6738194444444446E-3</v>
      </c>
      <c r="B4" t="s">
        <v>13</v>
      </c>
      <c r="M4" s="2">
        <f t="shared" si="0"/>
        <v>1.6782407407407406E-3</v>
      </c>
      <c r="N4" t="str" cm="1">
        <f t="array" ref="N4">ConvertToSkill(B4,$D$1)</f>
        <v>Mantra</v>
      </c>
      <c r="O4" s="3">
        <f t="shared" si="1"/>
        <v>22</v>
      </c>
    </row>
    <row r="5" spans="1:15" x14ac:dyDescent="0.25">
      <c r="A5" s="7">
        <v>2.2013773148148144E-3</v>
      </c>
      <c r="B5" t="s">
        <v>14</v>
      </c>
      <c r="M5" s="2">
        <f t="shared" si="0"/>
        <v>2.1990740740740738E-3</v>
      </c>
      <c r="N5" t="str" cm="1">
        <f t="array" ref="N5">ConvertToSkill(B5,$D$1)</f>
        <v>True North</v>
      </c>
      <c r="O5" s="3">
        <f t="shared" si="1"/>
        <v>44.999999999999986</v>
      </c>
    </row>
    <row r="6" spans="1:15" x14ac:dyDescent="0.25">
      <c r="A6" s="7">
        <v>2.3254282407407408E-3</v>
      </c>
      <c r="B6" t="s">
        <v>12</v>
      </c>
      <c r="M6" s="2">
        <f t="shared" si="0"/>
        <v>2.3263888888888887E-3</v>
      </c>
      <c r="N6" t="str" cm="1">
        <f t="array" ref="N6">ConvertToSkill(B6,$D$1)</f>
        <v>Riddle Of Earth</v>
      </c>
      <c r="O6" s="3">
        <f t="shared" si="1"/>
        <v>11.000000000000007</v>
      </c>
    </row>
    <row r="7" spans="1:15" x14ac:dyDescent="0.25">
      <c r="A7" s="7">
        <v>2.9648611111111113E-3</v>
      </c>
      <c r="B7" t="s">
        <v>13</v>
      </c>
      <c r="M7" s="2">
        <f t="shared" si="0"/>
        <v>2.9629629629629628E-3</v>
      </c>
      <c r="N7" t="str" cm="1">
        <f t="array" ref="N7">ConvertToSkill(B7,$D$1)</f>
        <v>Mantra</v>
      </c>
      <c r="O7" s="3">
        <f t="shared" si="1"/>
        <v>55.000000000000007</v>
      </c>
    </row>
    <row r="8" spans="1:15" x14ac:dyDescent="0.25">
      <c r="A8" s="7">
        <v>4.1560995370370371E-3</v>
      </c>
      <c r="B8" t="s">
        <v>12</v>
      </c>
      <c r="M8" s="2">
        <f t="shared" si="0"/>
        <v>4.1550925925925922E-3</v>
      </c>
      <c r="N8" t="str" cm="1">
        <f t="array" ref="N8">ConvertToSkill(B8,$D$1)</f>
        <v>Riddle Of Earth</v>
      </c>
      <c r="O8" s="3">
        <f t="shared" si="1"/>
        <v>102.99999999999999</v>
      </c>
    </row>
    <row r="9" spans="1:15" x14ac:dyDescent="0.25">
      <c r="A9" s="7">
        <v>4.1643402777777781E-3</v>
      </c>
      <c r="B9" t="s">
        <v>13</v>
      </c>
      <c r="M9" s="2">
        <f t="shared" si="0"/>
        <v>4.1666666666666666E-3</v>
      </c>
      <c r="N9" t="str" cm="1">
        <f t="array" ref="N9">ConvertToSkill(B9,$D$1)</f>
        <v>Mantra</v>
      </c>
      <c r="O9" s="3">
        <f t="shared" si="1"/>
        <v>1.0000000000000315</v>
      </c>
    </row>
    <row r="10" spans="1:15" x14ac:dyDescent="0.25">
      <c r="A10" s="7">
        <v>4.8671990740740741E-3</v>
      </c>
      <c r="B10" t="s">
        <v>12</v>
      </c>
      <c r="M10" s="2">
        <f t="shared" si="0"/>
        <v>4.8726851851851848E-3</v>
      </c>
      <c r="N10" t="str" cm="1">
        <f t="array" ref="N10">ConvertToSkill(B10,$D$1)</f>
        <v>Riddle Of Earth</v>
      </c>
      <c r="O10" s="3">
        <f t="shared" si="1"/>
        <v>60.999999999999972</v>
      </c>
    </row>
    <row r="11" spans="1:15" x14ac:dyDescent="0.25">
      <c r="A11" s="7">
        <v>5.4918171296296295E-3</v>
      </c>
      <c r="B11" t="s">
        <v>14</v>
      </c>
      <c r="M11" s="2">
        <f t="shared" si="0"/>
        <v>5.4861111111111109E-3</v>
      </c>
      <c r="N11" t="str" cm="1">
        <f t="array" ref="N11">ConvertToSkill(B11,$D$1)</f>
        <v>True North</v>
      </c>
      <c r="O11" s="3">
        <f t="shared" si="1"/>
        <v>53.000000000000021</v>
      </c>
    </row>
    <row r="12" spans="1:15" x14ac:dyDescent="0.25">
      <c r="A12" s="7">
        <v>5.8522453703703714E-3</v>
      </c>
      <c r="B12" t="s">
        <v>14</v>
      </c>
      <c r="M12" s="2">
        <f t="shared" si="0"/>
        <v>5.8564814814814816E-3</v>
      </c>
      <c r="N12" t="str" cm="1">
        <f t="array" ref="N12">ConvertToSkill(B12,$D$1)</f>
        <v>True North</v>
      </c>
      <c r="O12" s="3">
        <f t="shared" si="1"/>
        <v>32.000000000000036</v>
      </c>
    </row>
    <row r="13" spans="1:15" x14ac:dyDescent="0.25">
      <c r="A13" s="7">
        <v>5.873287037037038E-3</v>
      </c>
      <c r="B13" t="s">
        <v>12</v>
      </c>
      <c r="M13" s="2">
        <f t="shared" si="0"/>
        <v>5.8680555555555552E-3</v>
      </c>
      <c r="N13" t="str" cm="1">
        <f t="array" ref="N13">ConvertToSkill(B13,$D$1)</f>
        <v>Riddle Of Earth</v>
      </c>
      <c r="O13" s="3">
        <f t="shared" si="1"/>
        <v>0.99999999999995648</v>
      </c>
    </row>
    <row r="14" spans="1:15" x14ac:dyDescent="0.25">
      <c r="A14" s="7">
        <v>6.0923611111111109E-3</v>
      </c>
      <c r="B14" t="s">
        <v>13</v>
      </c>
      <c r="M14" s="2">
        <f t="shared" si="0"/>
        <v>6.0879629629629626E-3</v>
      </c>
      <c r="N14" t="str" cm="1">
        <f t="array" ref="N14">ConvertToSkill(B14,$D$1)</f>
        <v>Mantra</v>
      </c>
      <c r="O14" s="3">
        <f t="shared" si="1"/>
        <v>19</v>
      </c>
    </row>
    <row r="15" spans="1:15" x14ac:dyDescent="0.25">
      <c r="A15" s="7">
        <v>6.1669791666666661E-3</v>
      </c>
      <c r="B15" t="s">
        <v>15</v>
      </c>
      <c r="M15" s="2">
        <f t="shared" si="0"/>
        <v>6.168981481481481E-3</v>
      </c>
      <c r="N15" t="str" cm="1">
        <f t="array" ref="N15">ConvertToSkill(B15,$D$1)</f>
        <v>Arm's Length</v>
      </c>
      <c r="O15" s="3">
        <f t="shared" si="1"/>
        <v>6.9999999999999947</v>
      </c>
    </row>
    <row r="16" spans="1:15" x14ac:dyDescent="0.25">
      <c r="A16" s="7">
        <v>6.5688541666666664E-3</v>
      </c>
      <c r="B16" t="s">
        <v>14</v>
      </c>
      <c r="M16" s="2">
        <f t="shared" si="0"/>
        <v>6.5740740740740733E-3</v>
      </c>
      <c r="N16" t="str" cm="1">
        <f t="array" ref="N16">ConvertToSkill(B16,$D$1)</f>
        <v>True North</v>
      </c>
      <c r="O16" s="3">
        <f t="shared" si="1"/>
        <v>34.999999999999979</v>
      </c>
    </row>
    <row r="17" spans="1:15" x14ac:dyDescent="0.25">
      <c r="A17" s="7">
        <v>6.5910532407407402E-3</v>
      </c>
      <c r="B17" t="s">
        <v>12</v>
      </c>
      <c r="M17" s="2">
        <f t="shared" si="0"/>
        <v>6.5856481481481478E-3</v>
      </c>
      <c r="N17" t="str" cm="1">
        <f t="array" ref="N17">ConvertToSkill(B17,$D$1)</f>
        <v>Riddle Of Earth</v>
      </c>
      <c r="O17" s="3">
        <f t="shared" si="1"/>
        <v>1.0000000000000315</v>
      </c>
    </row>
    <row r="18" spans="1:15" x14ac:dyDescent="0.25">
      <c r="A18" s="7">
        <v>7.0515277777777772E-3</v>
      </c>
      <c r="B18" t="s">
        <v>14</v>
      </c>
      <c r="M18" s="2">
        <f t="shared" si="0"/>
        <v>7.0486111111111105E-3</v>
      </c>
      <c r="N18" t="str" cm="1">
        <f t="array" ref="N18">ConvertToSkill(B18,$D$1)</f>
        <v>True North</v>
      </c>
      <c r="O18" s="3">
        <f t="shared" si="1"/>
        <v>39.999999999999986</v>
      </c>
    </row>
    <row r="19" spans="1:15" x14ac:dyDescent="0.25">
      <c r="A19" s="7">
        <v>7.1401157407407411E-3</v>
      </c>
      <c r="B19" t="s">
        <v>13</v>
      </c>
      <c r="M19" s="2">
        <f t="shared" si="0"/>
        <v>7.1412037037037034E-3</v>
      </c>
      <c r="N19" t="str" cm="1">
        <f t="array" ref="N19">ConvertToSkill(B19,$D$1)</f>
        <v>Mantra</v>
      </c>
      <c r="O19" s="3">
        <f t="shared" si="1"/>
        <v>8.0000000000000266</v>
      </c>
    </row>
    <row r="20" spans="1:15" x14ac:dyDescent="0.25">
      <c r="A20" s="7">
        <v>7.3209606481481485E-3</v>
      </c>
      <c r="B20" t="s">
        <v>12</v>
      </c>
      <c r="M20" s="2">
        <f t="shared" si="0"/>
        <v>7.3263888888888884E-3</v>
      </c>
      <c r="N20" t="str" cm="1">
        <f t="array" ref="N20">ConvertToSkill(B20,$D$1)</f>
        <v>Riddle Of Earth</v>
      </c>
      <c r="O20" s="3">
        <f t="shared" si="1"/>
        <v>15.999999999999977</v>
      </c>
    </row>
    <row r="21" spans="1:15" x14ac:dyDescent="0.25">
      <c r="A21" s="7">
        <v>8.2142013888888889E-3</v>
      </c>
      <c r="B21" t="s">
        <v>12</v>
      </c>
      <c r="M21" s="2">
        <f t="shared" si="0"/>
        <v>8.2175925925925923E-3</v>
      </c>
      <c r="N21" t="str" cm="1">
        <f t="array" ref="N21">ConvertToSkill(B21,$D$1)</f>
        <v>Riddle Of Earth</v>
      </c>
      <c r="O21" s="3">
        <f t="shared" si="1"/>
        <v>77.000000000000014</v>
      </c>
    </row>
    <row r="22" spans="1:15" x14ac:dyDescent="0.25">
      <c r="A22" s="7">
        <v>8.2426157407407396E-3</v>
      </c>
      <c r="B22" t="s">
        <v>14</v>
      </c>
      <c r="M22" s="2">
        <f t="shared" si="0"/>
        <v>8.2407407407407412E-3</v>
      </c>
      <c r="N22" t="str" cm="1">
        <f t="array" ref="N22">ConvertToSkill(B22,$D$1)</f>
        <v>True North</v>
      </c>
      <c r="O22" s="3">
        <f t="shared" si="1"/>
        <v>2.0000000000000631</v>
      </c>
    </row>
    <row r="23" spans="1:15" x14ac:dyDescent="0.25">
      <c r="A23" s="7">
        <v>8.8831134259259262E-3</v>
      </c>
      <c r="B23" t="s">
        <v>13</v>
      </c>
      <c r="M23" s="2">
        <f t="shared" si="0"/>
        <v>8.8888888888888889E-3</v>
      </c>
      <c r="N23" t="str" cm="1">
        <f t="array" ref="N23">ConvertToSkill(B23,$D$1)</f>
        <v>Mantra</v>
      </c>
      <c r="O23" s="3">
        <f t="shared" si="1"/>
        <v>55.999999999999957</v>
      </c>
    </row>
    <row r="24" spans="1:15" x14ac:dyDescent="0.25">
      <c r="M24" s="2">
        <f t="shared" si="0"/>
        <v>0</v>
      </c>
      <c r="N24" t="str" cm="1">
        <f t="array" ref="N24">ConvertToSkill(B24,$D$1)</f>
        <v>Not matched</v>
      </c>
      <c r="O24" s="3">
        <f t="shared" si="1"/>
        <v>-767.99999999999989</v>
      </c>
    </row>
    <row r="25" spans="1:15" x14ac:dyDescent="0.25">
      <c r="M25" s="2">
        <f t="shared" si="0"/>
        <v>0</v>
      </c>
      <c r="N25" t="str" cm="1">
        <f t="array" ref="N25">ConvertToSkill(B25,$D$1)</f>
        <v>Not matched</v>
      </c>
      <c r="O25" s="3">
        <f t="shared" si="1"/>
        <v>0</v>
      </c>
    </row>
    <row r="26" spans="1:15" x14ac:dyDescent="0.25">
      <c r="M26" s="2">
        <f t="shared" si="0"/>
        <v>0</v>
      </c>
      <c r="N26" t="str" cm="1">
        <f t="array" ref="N26">ConvertToSkill(B26,$D$1)</f>
        <v>Not matched</v>
      </c>
      <c r="O26" s="3">
        <f t="shared" si="1"/>
        <v>0</v>
      </c>
    </row>
    <row r="27" spans="1:15" x14ac:dyDescent="0.25">
      <c r="M27" s="2">
        <f t="shared" si="0"/>
        <v>0</v>
      </c>
      <c r="N27" t="str" cm="1">
        <f t="array" ref="N27">ConvertToSkill(B27,$D$1)</f>
        <v>Not matched</v>
      </c>
      <c r="O27" s="3">
        <f t="shared" si="1"/>
        <v>0</v>
      </c>
    </row>
    <row r="28" spans="1:15" x14ac:dyDescent="0.25">
      <c r="M28" s="2">
        <f t="shared" si="0"/>
        <v>0</v>
      </c>
      <c r="N28" t="str" cm="1">
        <f t="array" ref="N28">ConvertToSkill(B28,$D$1)</f>
        <v>Not matched</v>
      </c>
      <c r="O28" s="3">
        <f t="shared" si="1"/>
        <v>0</v>
      </c>
    </row>
    <row r="29" spans="1:15" x14ac:dyDescent="0.25">
      <c r="M29" s="2">
        <f t="shared" si="0"/>
        <v>0</v>
      </c>
      <c r="N29" t="str" cm="1">
        <f t="array" ref="N29">ConvertToSkill(B29,$D$1)</f>
        <v>Not matched</v>
      </c>
      <c r="O29" s="3">
        <f t="shared" si="1"/>
        <v>0</v>
      </c>
    </row>
    <row r="30" spans="1:15" x14ac:dyDescent="0.25">
      <c r="M30" s="2">
        <f t="shared" si="0"/>
        <v>0</v>
      </c>
      <c r="N30" t="str" cm="1">
        <f t="array" ref="N30">ConvertToSkill(B30,$D$1)</f>
        <v>Not matched</v>
      </c>
      <c r="O30" s="3">
        <f t="shared" si="1"/>
        <v>0</v>
      </c>
    </row>
    <row r="31" spans="1:15" x14ac:dyDescent="0.25">
      <c r="M31" s="2">
        <f t="shared" si="0"/>
        <v>0</v>
      </c>
      <c r="N31" t="str" cm="1">
        <f t="array" ref="N31">ConvertToSkill(B31,$D$1)</f>
        <v>Not matched</v>
      </c>
      <c r="O31" s="3">
        <f t="shared" si="1"/>
        <v>0</v>
      </c>
    </row>
    <row r="32" spans="1:15" x14ac:dyDescent="0.25">
      <c r="M32" s="2">
        <f t="shared" si="0"/>
        <v>0</v>
      </c>
      <c r="N32" t="str" cm="1">
        <f t="array" ref="N32">ConvertToSkill(B32,$D$1)</f>
        <v>Not matched</v>
      </c>
      <c r="O32" s="3">
        <f t="shared" si="1"/>
        <v>0</v>
      </c>
    </row>
    <row r="33" spans="13:15" x14ac:dyDescent="0.25">
      <c r="M33" s="2">
        <f t="shared" si="0"/>
        <v>0</v>
      </c>
      <c r="N33" t="str" cm="1">
        <f t="array" ref="N33">ConvertToSkill(B33,$D$1)</f>
        <v>Not matched</v>
      </c>
      <c r="O33" s="3">
        <f t="shared" si="1"/>
        <v>0</v>
      </c>
    </row>
    <row r="34" spans="13:15" x14ac:dyDescent="0.25">
      <c r="M34" s="2">
        <f t="shared" si="0"/>
        <v>0</v>
      </c>
      <c r="N34" t="str" cm="1">
        <f t="array" ref="N34">ConvertToSkill(B34,$D$1)</f>
        <v>Not matched</v>
      </c>
      <c r="O34" s="3">
        <f t="shared" si="1"/>
        <v>0</v>
      </c>
    </row>
    <row r="35" spans="13:15" x14ac:dyDescent="0.25">
      <c r="M35" s="2">
        <f t="shared" si="0"/>
        <v>0</v>
      </c>
      <c r="N35" t="str" cm="1">
        <f t="array" ref="N35">ConvertToSkill(B35,$D$1)</f>
        <v>Not matched</v>
      </c>
      <c r="O35" s="3">
        <f t="shared" si="1"/>
        <v>0</v>
      </c>
    </row>
    <row r="36" spans="13:15" x14ac:dyDescent="0.25">
      <c r="M36" s="2">
        <f t="shared" si="0"/>
        <v>0</v>
      </c>
      <c r="N36" t="str" cm="1">
        <f t="array" ref="N36">ConvertToSkill(B36,$D$1)</f>
        <v>Not matched</v>
      </c>
      <c r="O36" s="3">
        <f t="shared" si="1"/>
        <v>0</v>
      </c>
    </row>
    <row r="37" spans="13:15" x14ac:dyDescent="0.25">
      <c r="M37" s="2">
        <f t="shared" si="0"/>
        <v>0</v>
      </c>
      <c r="N37" t="str" cm="1">
        <f t="array" ref="N37">ConvertToSkill(B37,$D$1)</f>
        <v>Not matched</v>
      </c>
      <c r="O37" s="3">
        <f t="shared" si="1"/>
        <v>0</v>
      </c>
    </row>
    <row r="38" spans="13:15" x14ac:dyDescent="0.25">
      <c r="M38" s="2">
        <f t="shared" si="0"/>
        <v>0</v>
      </c>
      <c r="N38" t="str" cm="1">
        <f t="array" ref="N38">ConvertToSkill(B38,$D$1)</f>
        <v>Not matched</v>
      </c>
      <c r="O38" s="3">
        <f t="shared" si="1"/>
        <v>0</v>
      </c>
    </row>
    <row r="39" spans="13:15" x14ac:dyDescent="0.25">
      <c r="M39" s="2">
        <f t="shared" si="0"/>
        <v>0</v>
      </c>
      <c r="N39" t="str" cm="1">
        <f t="array" ref="N39">ConvertToSkill(B39,$D$1)</f>
        <v>Not matched</v>
      </c>
      <c r="O39" s="3">
        <f t="shared" si="1"/>
        <v>0</v>
      </c>
    </row>
    <row r="40" spans="13:15" x14ac:dyDescent="0.25">
      <c r="M40" s="2">
        <f t="shared" si="0"/>
        <v>0</v>
      </c>
      <c r="N40" t="str" cm="1">
        <f t="array" ref="N40">ConvertToSkill(B40,$D$1)</f>
        <v>Not matched</v>
      </c>
      <c r="O40" s="3">
        <f t="shared" si="1"/>
        <v>0</v>
      </c>
    </row>
    <row r="41" spans="13:15" x14ac:dyDescent="0.25">
      <c r="M41" s="2">
        <f t="shared" si="0"/>
        <v>0</v>
      </c>
      <c r="N41" t="str" cm="1">
        <f t="array" ref="N41">ConvertToSkill(B41,$D$1)</f>
        <v>Not matched</v>
      </c>
      <c r="O41" s="3">
        <f t="shared" si="1"/>
        <v>0</v>
      </c>
    </row>
    <row r="42" spans="13:15" x14ac:dyDescent="0.25">
      <c r="M42" s="2">
        <f t="shared" si="0"/>
        <v>0</v>
      </c>
      <c r="N42" t="str" cm="1">
        <f t="array" ref="N42">ConvertToSkill(B42,$D$1)</f>
        <v>Not matched</v>
      </c>
      <c r="O42" s="3">
        <f t="shared" si="1"/>
        <v>0</v>
      </c>
    </row>
    <row r="43" spans="13:15" x14ac:dyDescent="0.25">
      <c r="M43" s="2">
        <f t="shared" si="0"/>
        <v>0</v>
      </c>
      <c r="N43" t="str" cm="1">
        <f t="array" ref="N43">ConvertToSkill(B43,$D$1)</f>
        <v>Not matched</v>
      </c>
      <c r="O43" s="3">
        <f t="shared" si="1"/>
        <v>0</v>
      </c>
    </row>
    <row r="44" spans="13:15" x14ac:dyDescent="0.25">
      <c r="M44" s="2">
        <f t="shared" si="0"/>
        <v>0</v>
      </c>
      <c r="N44" t="str" cm="1">
        <f t="array" ref="N44">ConvertToSkill(B44,$D$1)</f>
        <v>Not matched</v>
      </c>
      <c r="O44" s="3">
        <f t="shared" si="1"/>
        <v>0</v>
      </c>
    </row>
    <row r="45" spans="13:15" x14ac:dyDescent="0.25">
      <c r="M45" s="2">
        <f t="shared" si="0"/>
        <v>0</v>
      </c>
      <c r="N45" t="str" cm="1">
        <f t="array" ref="N45">ConvertToSkill(B45,$D$1)</f>
        <v>Not matched</v>
      </c>
      <c r="O45" s="3">
        <f t="shared" si="1"/>
        <v>0</v>
      </c>
    </row>
    <row r="46" spans="13:15" x14ac:dyDescent="0.25">
      <c r="M46" s="2">
        <f t="shared" si="0"/>
        <v>0</v>
      </c>
      <c r="N46" t="str" cm="1">
        <f t="array" ref="N46">ConvertToSkill(B46,$D$1)</f>
        <v>Not matched</v>
      </c>
      <c r="O46" s="3">
        <f t="shared" si="1"/>
        <v>0</v>
      </c>
    </row>
    <row r="47" spans="13:15" x14ac:dyDescent="0.25">
      <c r="M47" s="2">
        <f t="shared" si="0"/>
        <v>0</v>
      </c>
      <c r="N47" t="str" cm="1">
        <f t="array" ref="N47">ConvertToSkill(B47,$D$1)</f>
        <v>Not matched</v>
      </c>
      <c r="O47" s="3">
        <f t="shared" si="1"/>
        <v>0</v>
      </c>
    </row>
    <row r="48" spans="13:15" x14ac:dyDescent="0.25">
      <c r="M48" s="2">
        <f t="shared" si="0"/>
        <v>0</v>
      </c>
      <c r="N48" t="str" cm="1">
        <f t="array" ref="N48">ConvertToSkill(B48,$D$1)</f>
        <v>Not matched</v>
      </c>
      <c r="O48" s="3">
        <f t="shared" si="1"/>
        <v>0</v>
      </c>
    </row>
    <row r="49" spans="13:15" x14ac:dyDescent="0.25">
      <c r="M49" s="2">
        <f t="shared" si="0"/>
        <v>0</v>
      </c>
      <c r="N49" t="str" cm="1">
        <f t="array" ref="N49">ConvertToSkill(B49,$D$1)</f>
        <v>Not matched</v>
      </c>
      <c r="O49" s="3">
        <f t="shared" si="1"/>
        <v>0</v>
      </c>
    </row>
    <row r="50" spans="13:15" x14ac:dyDescent="0.25">
      <c r="M50" s="2">
        <f t="shared" si="0"/>
        <v>0</v>
      </c>
      <c r="N50" t="str" cm="1">
        <f t="array" ref="N50">ConvertToSkill(B50,$D$1)</f>
        <v>Not matched</v>
      </c>
      <c r="O50" s="3">
        <f t="shared" si="1"/>
        <v>0</v>
      </c>
    </row>
    <row r="51" spans="13:15" x14ac:dyDescent="0.25">
      <c r="M51" s="2">
        <f t="shared" si="0"/>
        <v>0</v>
      </c>
      <c r="N51" t="str" cm="1">
        <f t="array" ref="N51">ConvertToSkill(B51,$D$1)</f>
        <v>Not matched</v>
      </c>
      <c r="O51" s="3">
        <f t="shared" si="1"/>
        <v>0</v>
      </c>
    </row>
    <row r="52" spans="13:15" x14ac:dyDescent="0.25">
      <c r="M52" s="2">
        <f t="shared" si="0"/>
        <v>0</v>
      </c>
      <c r="N52" t="str" cm="1">
        <f t="array" ref="N52">ConvertToSkill(B52,$D$1)</f>
        <v>Not matched</v>
      </c>
      <c r="O52" s="3">
        <f t="shared" si="1"/>
        <v>0</v>
      </c>
    </row>
    <row r="53" spans="13:15" x14ac:dyDescent="0.25">
      <c r="M53" s="2">
        <f t="shared" si="0"/>
        <v>0</v>
      </c>
      <c r="N53" t="str" cm="1">
        <f t="array" ref="N53">ConvertToSkill(B53,$D$1)</f>
        <v>Not matched</v>
      </c>
      <c r="O53" s="3">
        <f t="shared" si="1"/>
        <v>0</v>
      </c>
    </row>
    <row r="54" spans="13:15" x14ac:dyDescent="0.25">
      <c r="M54" s="2">
        <f t="shared" si="0"/>
        <v>0</v>
      </c>
      <c r="N54" t="str" cm="1">
        <f t="array" ref="N54">ConvertToSkill(B54,$D$1)</f>
        <v>Not matched</v>
      </c>
      <c r="O54" s="3">
        <f t="shared" si="1"/>
        <v>0</v>
      </c>
    </row>
    <row r="55" spans="13:15" x14ac:dyDescent="0.25">
      <c r="M55" s="2">
        <f t="shared" si="0"/>
        <v>0</v>
      </c>
      <c r="N55" t="str" cm="1">
        <f t="array" ref="N55">ConvertToSkill(B55,$D$1)</f>
        <v>Not matched</v>
      </c>
      <c r="O55" s="3">
        <f t="shared" si="1"/>
        <v>0</v>
      </c>
    </row>
    <row r="56" spans="13:15" x14ac:dyDescent="0.25">
      <c r="M56" s="2">
        <f t="shared" si="0"/>
        <v>0</v>
      </c>
      <c r="N56" t="str" cm="1">
        <f t="array" ref="N56">ConvertToSkill(B56,$D$1)</f>
        <v>Not matched</v>
      </c>
      <c r="O56" s="3">
        <f t="shared" si="1"/>
        <v>0</v>
      </c>
    </row>
    <row r="57" spans="13:15" x14ac:dyDescent="0.25">
      <c r="M57" s="2">
        <f t="shared" si="0"/>
        <v>0</v>
      </c>
      <c r="N57" t="str" cm="1">
        <f t="array" ref="N57">ConvertToSkill(B57,$D$1)</f>
        <v>Not matched</v>
      </c>
      <c r="O57" s="3">
        <f t="shared" si="1"/>
        <v>0</v>
      </c>
    </row>
    <row r="58" spans="13:15" x14ac:dyDescent="0.25">
      <c r="M58" s="2">
        <f t="shared" si="0"/>
        <v>0</v>
      </c>
      <c r="N58" t="str" cm="1">
        <f t="array" ref="N58">ConvertToSkill(B58,$D$1)</f>
        <v>Not matched</v>
      </c>
      <c r="O58" s="3">
        <f t="shared" si="1"/>
        <v>0</v>
      </c>
    </row>
    <row r="59" spans="13:15" x14ac:dyDescent="0.25">
      <c r="M59" s="2">
        <f t="shared" si="0"/>
        <v>0</v>
      </c>
      <c r="N59" t="str" cm="1">
        <f t="array" ref="N59">ConvertToSkill(B59,$D$1)</f>
        <v>Not matched</v>
      </c>
      <c r="O59" s="3">
        <f t="shared" si="1"/>
        <v>0</v>
      </c>
    </row>
    <row r="60" spans="13:15" x14ac:dyDescent="0.25">
      <c r="M60" s="2">
        <f t="shared" si="0"/>
        <v>0</v>
      </c>
      <c r="N60" t="str" cm="1">
        <f t="array" ref="N60">ConvertToSkill(B60,$D$1)</f>
        <v>Not matched</v>
      </c>
      <c r="O60" s="3">
        <f t="shared" si="1"/>
        <v>0</v>
      </c>
    </row>
    <row r="61" spans="13:15" x14ac:dyDescent="0.25">
      <c r="M61" s="2">
        <f t="shared" si="0"/>
        <v>0</v>
      </c>
      <c r="N61" t="str" cm="1">
        <f t="array" ref="N61">ConvertToSkill(B61,$D$1)</f>
        <v>Not matched</v>
      </c>
      <c r="O61" s="3">
        <f t="shared" si="1"/>
        <v>0</v>
      </c>
    </row>
    <row r="62" spans="13:15" x14ac:dyDescent="0.25">
      <c r="M62" s="2">
        <f t="shared" si="0"/>
        <v>0</v>
      </c>
      <c r="N62" t="str" cm="1">
        <f t="array" ref="N62">ConvertToSkill(B62,$D$1)</f>
        <v>Not matched</v>
      </c>
      <c r="O62" s="3">
        <f t="shared" si="1"/>
        <v>0</v>
      </c>
    </row>
    <row r="63" spans="13:15" x14ac:dyDescent="0.25">
      <c r="M63" s="2">
        <f t="shared" si="0"/>
        <v>0</v>
      </c>
      <c r="N63" t="str" cm="1">
        <f t="array" ref="N63">ConvertToSkill(B63,$D$1)</f>
        <v>Not matched</v>
      </c>
      <c r="O63" s="3">
        <f t="shared" si="1"/>
        <v>0</v>
      </c>
    </row>
    <row r="64" spans="13:15" x14ac:dyDescent="0.25">
      <c r="M64" s="2">
        <f t="shared" si="0"/>
        <v>0</v>
      </c>
      <c r="N64" t="str" cm="1">
        <f t="array" ref="N64">ConvertToSkill(B64,$D$1)</f>
        <v>Not matched</v>
      </c>
      <c r="O64" s="3">
        <f t="shared" si="1"/>
        <v>0</v>
      </c>
    </row>
    <row r="65" spans="13:15" x14ac:dyDescent="0.25">
      <c r="M65" s="2">
        <f t="shared" si="0"/>
        <v>0</v>
      </c>
      <c r="N65" t="str" cm="1">
        <f t="array" ref="N65">ConvertToSkill(B65,$D$1)</f>
        <v>Not matched</v>
      </c>
      <c r="O65" s="3">
        <f t="shared" si="1"/>
        <v>0</v>
      </c>
    </row>
    <row r="66" spans="13:15" x14ac:dyDescent="0.25">
      <c r="M66" s="2">
        <f t="shared" si="0"/>
        <v>0</v>
      </c>
      <c r="N66" t="str" cm="1">
        <f t="array" ref="N66">ConvertToSkill(B66,$D$1)</f>
        <v>Not matched</v>
      </c>
      <c r="O66" s="3">
        <f t="shared" ref="O66:O129" si="2">(M66-M65)*24*60*60</f>
        <v>0</v>
      </c>
    </row>
    <row r="67" spans="13:15" x14ac:dyDescent="0.25">
      <c r="M67" s="2">
        <f t="shared" ref="M67:M130" si="3">MROUND($A67,1/86400)</f>
        <v>0</v>
      </c>
      <c r="N67" t="str" cm="1">
        <f t="array" ref="N67">ConvertToSkill(B67,$D$1)</f>
        <v>Not matched</v>
      </c>
      <c r="O67" s="3">
        <f t="shared" si="2"/>
        <v>0</v>
      </c>
    </row>
    <row r="68" spans="13:15" x14ac:dyDescent="0.25">
      <c r="M68" s="2">
        <f t="shared" si="3"/>
        <v>0</v>
      </c>
      <c r="N68" t="str" cm="1">
        <f t="array" ref="N68">ConvertToSkill(B68,$D$1)</f>
        <v>Not matched</v>
      </c>
      <c r="O68" s="3">
        <f t="shared" si="2"/>
        <v>0</v>
      </c>
    </row>
    <row r="69" spans="13:15" x14ac:dyDescent="0.25">
      <c r="M69" s="2">
        <f t="shared" si="3"/>
        <v>0</v>
      </c>
      <c r="N69" t="str" cm="1">
        <f t="array" ref="N69">ConvertToSkill(B69,$D$1)</f>
        <v>Not matched</v>
      </c>
      <c r="O69" s="3">
        <f t="shared" si="2"/>
        <v>0</v>
      </c>
    </row>
    <row r="70" spans="13:15" x14ac:dyDescent="0.25">
      <c r="M70" s="2">
        <f t="shared" si="3"/>
        <v>0</v>
      </c>
      <c r="N70" t="str" cm="1">
        <f t="array" ref="N70">ConvertToSkill(B70,$D$1)</f>
        <v>Not matched</v>
      </c>
      <c r="O70" s="3">
        <f t="shared" si="2"/>
        <v>0</v>
      </c>
    </row>
    <row r="71" spans="13:15" x14ac:dyDescent="0.25">
      <c r="M71" s="2">
        <f t="shared" si="3"/>
        <v>0</v>
      </c>
      <c r="N71" t="str" cm="1">
        <f t="array" ref="N71">ConvertToSkill(B71,$D$1)</f>
        <v>Not matched</v>
      </c>
      <c r="O71" s="3">
        <f t="shared" si="2"/>
        <v>0</v>
      </c>
    </row>
    <row r="72" spans="13:15" x14ac:dyDescent="0.25">
      <c r="M72" s="2">
        <f t="shared" si="3"/>
        <v>0</v>
      </c>
      <c r="N72" t="str" cm="1">
        <f t="array" ref="N72">ConvertToSkill(B72,$D$1)</f>
        <v>Not matched</v>
      </c>
      <c r="O72" s="3">
        <f t="shared" si="2"/>
        <v>0</v>
      </c>
    </row>
    <row r="73" spans="13:15" x14ac:dyDescent="0.25">
      <c r="M73" s="2">
        <f t="shared" si="3"/>
        <v>0</v>
      </c>
      <c r="N73" t="str" cm="1">
        <f t="array" ref="N73">ConvertToSkill(B73,$D$1)</f>
        <v>Not matched</v>
      </c>
      <c r="O73" s="3">
        <f t="shared" si="2"/>
        <v>0</v>
      </c>
    </row>
    <row r="74" spans="13:15" x14ac:dyDescent="0.25">
      <c r="M74" s="2">
        <f t="shared" si="3"/>
        <v>0</v>
      </c>
      <c r="N74" t="str" cm="1">
        <f t="array" ref="N74">ConvertToSkill(B74,$D$1)</f>
        <v>Not matched</v>
      </c>
      <c r="O74" s="3">
        <f t="shared" si="2"/>
        <v>0</v>
      </c>
    </row>
    <row r="75" spans="13:15" x14ac:dyDescent="0.25">
      <c r="M75" s="2">
        <f t="shared" si="3"/>
        <v>0</v>
      </c>
      <c r="N75" t="str" cm="1">
        <f t="array" ref="N75">ConvertToSkill(B75,$D$1)</f>
        <v>Not matched</v>
      </c>
      <c r="O75" s="3">
        <f t="shared" si="2"/>
        <v>0</v>
      </c>
    </row>
    <row r="76" spans="13:15" x14ac:dyDescent="0.25">
      <c r="M76" s="2">
        <f t="shared" si="3"/>
        <v>0</v>
      </c>
      <c r="N76" t="str" cm="1">
        <f t="array" ref="N76">ConvertToSkill(B76,$D$1)</f>
        <v>Not matched</v>
      </c>
      <c r="O76" s="3">
        <f t="shared" si="2"/>
        <v>0</v>
      </c>
    </row>
    <row r="77" spans="13:15" x14ac:dyDescent="0.25">
      <c r="M77" s="2">
        <f t="shared" si="3"/>
        <v>0</v>
      </c>
      <c r="N77" t="str" cm="1">
        <f t="array" ref="N77">ConvertToSkill(B77,$D$1)</f>
        <v>Not matched</v>
      </c>
      <c r="O77" s="3">
        <f t="shared" si="2"/>
        <v>0</v>
      </c>
    </row>
    <row r="78" spans="13:15" x14ac:dyDescent="0.25">
      <c r="M78" s="2">
        <f t="shared" si="3"/>
        <v>0</v>
      </c>
      <c r="N78" t="str" cm="1">
        <f t="array" ref="N78">ConvertToSkill(B78,$D$1)</f>
        <v>Not matched</v>
      </c>
      <c r="O78" s="3">
        <f t="shared" si="2"/>
        <v>0</v>
      </c>
    </row>
    <row r="79" spans="13:15" x14ac:dyDescent="0.25">
      <c r="M79" s="2">
        <f t="shared" si="3"/>
        <v>0</v>
      </c>
      <c r="N79" t="str" cm="1">
        <f t="array" ref="N79">ConvertToSkill(B79,$D$1)</f>
        <v>Not matched</v>
      </c>
      <c r="O79" s="3">
        <f t="shared" si="2"/>
        <v>0</v>
      </c>
    </row>
    <row r="80" spans="13:15" x14ac:dyDescent="0.25">
      <c r="M80" s="2">
        <f t="shared" si="3"/>
        <v>0</v>
      </c>
      <c r="N80" t="str" cm="1">
        <f t="array" ref="N80">ConvertToSkill(B80,$D$1)</f>
        <v>Not matched</v>
      </c>
      <c r="O80" s="3">
        <f t="shared" si="2"/>
        <v>0</v>
      </c>
    </row>
    <row r="81" spans="13:15" x14ac:dyDescent="0.25">
      <c r="M81" s="2">
        <f t="shared" si="3"/>
        <v>0</v>
      </c>
      <c r="N81" t="str" cm="1">
        <f t="array" ref="N81">ConvertToSkill(B81,$D$1)</f>
        <v>Not matched</v>
      </c>
      <c r="O81" s="3">
        <f t="shared" si="2"/>
        <v>0</v>
      </c>
    </row>
    <row r="82" spans="13:15" x14ac:dyDescent="0.25">
      <c r="M82" s="2">
        <f t="shared" si="3"/>
        <v>0</v>
      </c>
      <c r="N82" t="str" cm="1">
        <f t="array" ref="N82">ConvertToSkill(B82,$D$1)</f>
        <v>Not matched</v>
      </c>
      <c r="O82" s="3">
        <f t="shared" si="2"/>
        <v>0</v>
      </c>
    </row>
    <row r="83" spans="13:15" x14ac:dyDescent="0.25">
      <c r="M83" s="2">
        <f t="shared" si="3"/>
        <v>0</v>
      </c>
      <c r="N83" t="str" cm="1">
        <f t="array" ref="N83">ConvertToSkill(B83,$D$1)</f>
        <v>Not matched</v>
      </c>
      <c r="O83" s="3">
        <f t="shared" si="2"/>
        <v>0</v>
      </c>
    </row>
    <row r="84" spans="13:15" x14ac:dyDescent="0.25">
      <c r="M84" s="2">
        <f t="shared" si="3"/>
        <v>0</v>
      </c>
      <c r="N84" t="str" cm="1">
        <f t="array" ref="N84">ConvertToSkill(B84,$D$1)</f>
        <v>Not matched</v>
      </c>
      <c r="O84" s="3">
        <f t="shared" si="2"/>
        <v>0</v>
      </c>
    </row>
    <row r="85" spans="13:15" x14ac:dyDescent="0.25">
      <c r="M85" s="2">
        <f t="shared" si="3"/>
        <v>0</v>
      </c>
      <c r="N85" t="str" cm="1">
        <f t="array" ref="N85">ConvertToSkill(B85,$D$1)</f>
        <v>Not matched</v>
      </c>
      <c r="O85" s="3">
        <f t="shared" si="2"/>
        <v>0</v>
      </c>
    </row>
    <row r="86" spans="13:15" x14ac:dyDescent="0.25">
      <c r="M86" s="2">
        <f t="shared" si="3"/>
        <v>0</v>
      </c>
      <c r="N86" t="str" cm="1">
        <f t="array" ref="N86">ConvertToSkill(B86,$D$1)</f>
        <v>Not matched</v>
      </c>
      <c r="O86" s="3">
        <f t="shared" si="2"/>
        <v>0</v>
      </c>
    </row>
    <row r="87" spans="13:15" x14ac:dyDescent="0.25">
      <c r="M87" s="2">
        <f t="shared" si="3"/>
        <v>0</v>
      </c>
      <c r="N87" t="str" cm="1">
        <f t="array" ref="N87">ConvertToSkill(B87,$D$1)</f>
        <v>Not matched</v>
      </c>
      <c r="O87" s="3">
        <f t="shared" si="2"/>
        <v>0</v>
      </c>
    </row>
    <row r="88" spans="13:15" x14ac:dyDescent="0.25">
      <c r="M88" s="2">
        <f t="shared" si="3"/>
        <v>0</v>
      </c>
      <c r="N88" t="str" cm="1">
        <f t="array" ref="N88">ConvertToSkill(B88,$D$1)</f>
        <v>Not matched</v>
      </c>
      <c r="O88" s="3">
        <f t="shared" si="2"/>
        <v>0</v>
      </c>
    </row>
    <row r="89" spans="13:15" x14ac:dyDescent="0.25">
      <c r="M89" s="2">
        <f t="shared" si="3"/>
        <v>0</v>
      </c>
      <c r="N89" t="str" cm="1">
        <f t="array" ref="N89">ConvertToSkill(B89,$D$1)</f>
        <v>Not matched</v>
      </c>
      <c r="O89" s="3">
        <f t="shared" si="2"/>
        <v>0</v>
      </c>
    </row>
    <row r="90" spans="13:15" x14ac:dyDescent="0.25">
      <c r="M90" s="2">
        <f t="shared" si="3"/>
        <v>0</v>
      </c>
      <c r="N90" t="str" cm="1">
        <f t="array" ref="N90">ConvertToSkill(B90,$D$1)</f>
        <v>Not matched</v>
      </c>
      <c r="O90" s="3">
        <f t="shared" si="2"/>
        <v>0</v>
      </c>
    </row>
    <row r="91" spans="13:15" x14ac:dyDescent="0.25">
      <c r="M91" s="2">
        <f t="shared" si="3"/>
        <v>0</v>
      </c>
      <c r="N91" t="str" cm="1">
        <f t="array" ref="N91">ConvertToSkill(B91,$D$1)</f>
        <v>Not matched</v>
      </c>
      <c r="O91" s="3">
        <f t="shared" si="2"/>
        <v>0</v>
      </c>
    </row>
    <row r="92" spans="13:15" x14ac:dyDescent="0.25">
      <c r="M92" s="2">
        <f t="shared" si="3"/>
        <v>0</v>
      </c>
      <c r="N92" t="str" cm="1">
        <f t="array" ref="N92">ConvertToSkill(B92,$D$1)</f>
        <v>Not matched</v>
      </c>
      <c r="O92" s="3">
        <f t="shared" si="2"/>
        <v>0</v>
      </c>
    </row>
    <row r="93" spans="13:15" x14ac:dyDescent="0.25">
      <c r="M93" s="2">
        <f t="shared" si="3"/>
        <v>0</v>
      </c>
      <c r="N93" t="str" cm="1">
        <f t="array" ref="N93">ConvertToSkill(B93,$D$1)</f>
        <v>Not matched</v>
      </c>
      <c r="O93" s="3">
        <f t="shared" si="2"/>
        <v>0</v>
      </c>
    </row>
    <row r="94" spans="13:15" x14ac:dyDescent="0.25">
      <c r="M94" s="2">
        <f t="shared" si="3"/>
        <v>0</v>
      </c>
      <c r="N94" t="str" cm="1">
        <f t="array" ref="N94">ConvertToSkill(B94,$D$1)</f>
        <v>Not matched</v>
      </c>
      <c r="O94" s="3">
        <f t="shared" si="2"/>
        <v>0</v>
      </c>
    </row>
    <row r="95" spans="13:15" x14ac:dyDescent="0.25">
      <c r="M95" s="2">
        <f t="shared" si="3"/>
        <v>0</v>
      </c>
      <c r="N95" t="str" cm="1">
        <f t="array" ref="N95">ConvertToSkill(B95,$D$1)</f>
        <v>Not matched</v>
      </c>
      <c r="O95" s="3">
        <f t="shared" si="2"/>
        <v>0</v>
      </c>
    </row>
    <row r="96" spans="13:15" x14ac:dyDescent="0.25">
      <c r="M96" s="2">
        <f t="shared" si="3"/>
        <v>0</v>
      </c>
      <c r="N96" t="str" cm="1">
        <f t="array" ref="N96">ConvertToSkill(B96,$D$1)</f>
        <v>Not matched</v>
      </c>
      <c r="O96" s="3">
        <f t="shared" si="2"/>
        <v>0</v>
      </c>
    </row>
    <row r="97" spans="13:15" x14ac:dyDescent="0.25">
      <c r="M97" s="2">
        <f t="shared" si="3"/>
        <v>0</v>
      </c>
      <c r="N97" t="str" cm="1">
        <f t="array" ref="N97">ConvertToSkill(B97,$D$1)</f>
        <v>Not matched</v>
      </c>
      <c r="O97" s="3">
        <f t="shared" si="2"/>
        <v>0</v>
      </c>
    </row>
    <row r="98" spans="13:15" x14ac:dyDescent="0.25">
      <c r="M98" s="2">
        <f t="shared" si="3"/>
        <v>0</v>
      </c>
      <c r="N98" t="str" cm="1">
        <f t="array" ref="N98">ConvertToSkill(B98,$D$1)</f>
        <v>Not matched</v>
      </c>
      <c r="O98" s="3">
        <f t="shared" si="2"/>
        <v>0</v>
      </c>
    </row>
    <row r="99" spans="13:15" x14ac:dyDescent="0.25">
      <c r="M99" s="2">
        <f t="shared" si="3"/>
        <v>0</v>
      </c>
      <c r="N99" t="str" cm="1">
        <f t="array" ref="N99">ConvertToSkill(B99,$D$1)</f>
        <v>Not matched</v>
      </c>
      <c r="O99" s="3">
        <f t="shared" si="2"/>
        <v>0</v>
      </c>
    </row>
    <row r="100" spans="13:15" x14ac:dyDescent="0.25">
      <c r="M100" s="2">
        <f t="shared" si="3"/>
        <v>0</v>
      </c>
      <c r="N100" t="str" cm="1">
        <f t="array" ref="N100">ConvertToSkill(B100,$D$1)</f>
        <v>Not matched</v>
      </c>
      <c r="O100" s="3">
        <f t="shared" si="2"/>
        <v>0</v>
      </c>
    </row>
    <row r="101" spans="13:15" x14ac:dyDescent="0.25">
      <c r="M101" s="2">
        <f t="shared" si="3"/>
        <v>0</v>
      </c>
      <c r="N101" t="str" cm="1">
        <f t="array" ref="N101">ConvertToSkill(B101,$D$1)</f>
        <v>Not matched</v>
      </c>
      <c r="O101" s="3">
        <f t="shared" si="2"/>
        <v>0</v>
      </c>
    </row>
    <row r="102" spans="13:15" x14ac:dyDescent="0.25">
      <c r="M102" s="2">
        <f t="shared" si="3"/>
        <v>0</v>
      </c>
      <c r="N102" t="str" cm="1">
        <f t="array" ref="N102">ConvertToSkill(B102,$D$1)</f>
        <v>Not matched</v>
      </c>
      <c r="O102" s="3">
        <f t="shared" si="2"/>
        <v>0</v>
      </c>
    </row>
    <row r="103" spans="13:15" x14ac:dyDescent="0.25">
      <c r="M103" s="2">
        <f t="shared" si="3"/>
        <v>0</v>
      </c>
      <c r="N103" t="str" cm="1">
        <f t="array" ref="N103">ConvertToSkill(B103,$D$1)</f>
        <v>Not matched</v>
      </c>
      <c r="O103" s="3">
        <f t="shared" si="2"/>
        <v>0</v>
      </c>
    </row>
    <row r="104" spans="13:15" x14ac:dyDescent="0.25">
      <c r="M104" s="2">
        <f t="shared" si="3"/>
        <v>0</v>
      </c>
      <c r="N104" t="str" cm="1">
        <f t="array" ref="N104">ConvertToSkill(B104,$D$1)</f>
        <v>Not matched</v>
      </c>
      <c r="O104" s="3">
        <f t="shared" si="2"/>
        <v>0</v>
      </c>
    </row>
    <row r="105" spans="13:15" x14ac:dyDescent="0.25">
      <c r="M105" s="2">
        <f t="shared" si="3"/>
        <v>0</v>
      </c>
      <c r="N105" t="str" cm="1">
        <f t="array" ref="N105">ConvertToSkill(B105,$D$1)</f>
        <v>Not matched</v>
      </c>
      <c r="O105" s="3">
        <f t="shared" si="2"/>
        <v>0</v>
      </c>
    </row>
    <row r="106" spans="13:15" x14ac:dyDescent="0.25">
      <c r="M106" s="2">
        <f t="shared" si="3"/>
        <v>0</v>
      </c>
      <c r="N106" t="str" cm="1">
        <f t="array" ref="N106">ConvertToSkill(B106,$D$1)</f>
        <v>Not matched</v>
      </c>
      <c r="O106" s="3">
        <f t="shared" si="2"/>
        <v>0</v>
      </c>
    </row>
    <row r="107" spans="13:15" x14ac:dyDescent="0.25">
      <c r="M107" s="2">
        <f t="shared" si="3"/>
        <v>0</v>
      </c>
      <c r="N107" t="str" cm="1">
        <f t="array" ref="N107">ConvertToSkill(B107,$D$1)</f>
        <v>Not matched</v>
      </c>
      <c r="O107" s="3">
        <f t="shared" si="2"/>
        <v>0</v>
      </c>
    </row>
    <row r="108" spans="13:15" x14ac:dyDescent="0.25">
      <c r="M108" s="2">
        <f t="shared" si="3"/>
        <v>0</v>
      </c>
      <c r="N108" t="str" cm="1">
        <f t="array" ref="N108">ConvertToSkill(B108,$D$1)</f>
        <v>Not matched</v>
      </c>
      <c r="O108" s="3">
        <f t="shared" si="2"/>
        <v>0</v>
      </c>
    </row>
    <row r="109" spans="13:15" x14ac:dyDescent="0.25">
      <c r="M109" s="2">
        <f t="shared" si="3"/>
        <v>0</v>
      </c>
      <c r="N109" t="str" cm="1">
        <f t="array" ref="N109">ConvertToSkill(B109,$D$1)</f>
        <v>Not matched</v>
      </c>
      <c r="O109" s="3">
        <f t="shared" si="2"/>
        <v>0</v>
      </c>
    </row>
    <row r="110" spans="13:15" x14ac:dyDescent="0.25">
      <c r="M110" s="2">
        <f t="shared" si="3"/>
        <v>0</v>
      </c>
      <c r="N110" t="str" cm="1">
        <f t="array" ref="N110">ConvertToSkill(B110,$D$1)</f>
        <v>Not matched</v>
      </c>
      <c r="O110" s="3">
        <f t="shared" si="2"/>
        <v>0</v>
      </c>
    </row>
    <row r="111" spans="13:15" x14ac:dyDescent="0.25">
      <c r="M111" s="2">
        <f t="shared" si="3"/>
        <v>0</v>
      </c>
      <c r="N111" t="str" cm="1">
        <f t="array" ref="N111">ConvertToSkill(B111,$D$1)</f>
        <v>Not matched</v>
      </c>
      <c r="O111" s="3">
        <f t="shared" si="2"/>
        <v>0</v>
      </c>
    </row>
    <row r="112" spans="13:15" x14ac:dyDescent="0.25">
      <c r="M112" s="2">
        <f t="shared" si="3"/>
        <v>0</v>
      </c>
      <c r="N112" t="str" cm="1">
        <f t="array" ref="N112">ConvertToSkill(B112,$D$1)</f>
        <v>Not matched</v>
      </c>
      <c r="O112" s="3">
        <f t="shared" si="2"/>
        <v>0</v>
      </c>
    </row>
    <row r="113" spans="13:15" x14ac:dyDescent="0.25">
      <c r="M113" s="2">
        <f t="shared" si="3"/>
        <v>0</v>
      </c>
      <c r="N113" t="str" cm="1">
        <f t="array" ref="N113">ConvertToSkill(B113,$D$1)</f>
        <v>Not matched</v>
      </c>
      <c r="O113" s="3">
        <f t="shared" si="2"/>
        <v>0</v>
      </c>
    </row>
    <row r="114" spans="13:15" x14ac:dyDescent="0.25">
      <c r="M114" s="2">
        <f t="shared" si="3"/>
        <v>0</v>
      </c>
      <c r="N114" t="str" cm="1">
        <f t="array" ref="N114">ConvertToSkill(B114,$D$1)</f>
        <v>Not matched</v>
      </c>
      <c r="O114" s="3">
        <f t="shared" si="2"/>
        <v>0</v>
      </c>
    </row>
    <row r="115" spans="13:15" x14ac:dyDescent="0.25">
      <c r="M115" s="2">
        <f t="shared" si="3"/>
        <v>0</v>
      </c>
      <c r="N115" t="str" cm="1">
        <f t="array" ref="N115">ConvertToSkill(B115,$D$1)</f>
        <v>Not matched</v>
      </c>
      <c r="O115" s="3">
        <f t="shared" si="2"/>
        <v>0</v>
      </c>
    </row>
    <row r="116" spans="13:15" x14ac:dyDescent="0.25">
      <c r="M116" s="2">
        <f t="shared" si="3"/>
        <v>0</v>
      </c>
      <c r="N116" t="str" cm="1">
        <f t="array" ref="N116">ConvertToSkill(B116,$D$1)</f>
        <v>Not matched</v>
      </c>
      <c r="O116" s="3">
        <f t="shared" si="2"/>
        <v>0</v>
      </c>
    </row>
    <row r="117" spans="13:15" x14ac:dyDescent="0.25">
      <c r="M117" s="2">
        <f t="shared" si="3"/>
        <v>0</v>
      </c>
      <c r="N117" t="str" cm="1">
        <f t="array" ref="N117">ConvertToSkill(B117,$D$1)</f>
        <v>Not matched</v>
      </c>
      <c r="O117" s="3">
        <f t="shared" si="2"/>
        <v>0</v>
      </c>
    </row>
    <row r="118" spans="13:15" x14ac:dyDescent="0.25">
      <c r="M118" s="2">
        <f t="shared" si="3"/>
        <v>0</v>
      </c>
      <c r="N118" t="str" cm="1">
        <f t="array" ref="N118">ConvertToSkill(B118,$D$1)</f>
        <v>Not matched</v>
      </c>
      <c r="O118" s="3">
        <f t="shared" si="2"/>
        <v>0</v>
      </c>
    </row>
    <row r="119" spans="13:15" x14ac:dyDescent="0.25">
      <c r="M119" s="2">
        <f t="shared" si="3"/>
        <v>0</v>
      </c>
      <c r="N119" t="str" cm="1">
        <f t="array" ref="N119">ConvertToSkill(B119,$D$1)</f>
        <v>Not matched</v>
      </c>
      <c r="O119" s="3">
        <f t="shared" si="2"/>
        <v>0</v>
      </c>
    </row>
    <row r="120" spans="13:15" x14ac:dyDescent="0.25">
      <c r="M120" s="2">
        <f t="shared" si="3"/>
        <v>0</v>
      </c>
      <c r="N120" t="str" cm="1">
        <f t="array" ref="N120">ConvertToSkill(B120,$D$1)</f>
        <v>Not matched</v>
      </c>
      <c r="O120" s="3">
        <f t="shared" si="2"/>
        <v>0</v>
      </c>
    </row>
    <row r="121" spans="13:15" x14ac:dyDescent="0.25">
      <c r="M121" s="2">
        <f t="shared" si="3"/>
        <v>0</v>
      </c>
      <c r="N121" t="str" cm="1">
        <f t="array" ref="N121">ConvertToSkill(B121,$D$1)</f>
        <v>Not matched</v>
      </c>
      <c r="O121" s="3">
        <f t="shared" si="2"/>
        <v>0</v>
      </c>
    </row>
    <row r="122" spans="13:15" x14ac:dyDescent="0.25">
      <c r="M122" s="2">
        <f t="shared" si="3"/>
        <v>0</v>
      </c>
      <c r="N122" t="str" cm="1">
        <f t="array" ref="N122">ConvertToSkill(B122,$D$1)</f>
        <v>Not matched</v>
      </c>
      <c r="O122" s="3">
        <f t="shared" si="2"/>
        <v>0</v>
      </c>
    </row>
    <row r="123" spans="13:15" x14ac:dyDescent="0.25">
      <c r="M123" s="2">
        <f t="shared" si="3"/>
        <v>0</v>
      </c>
      <c r="N123" t="str" cm="1">
        <f t="array" ref="N123">ConvertToSkill(B123,$D$1)</f>
        <v>Not matched</v>
      </c>
      <c r="O123" s="3">
        <f t="shared" si="2"/>
        <v>0</v>
      </c>
    </row>
    <row r="124" spans="13:15" x14ac:dyDescent="0.25">
      <c r="M124" s="2">
        <f t="shared" si="3"/>
        <v>0</v>
      </c>
      <c r="N124" t="str" cm="1">
        <f t="array" ref="N124">ConvertToSkill(B124,$D$1)</f>
        <v>Not matched</v>
      </c>
      <c r="O124" s="3">
        <f t="shared" si="2"/>
        <v>0</v>
      </c>
    </row>
    <row r="125" spans="13:15" x14ac:dyDescent="0.25">
      <c r="M125" s="2">
        <f t="shared" si="3"/>
        <v>0</v>
      </c>
      <c r="N125" t="str" cm="1">
        <f t="array" ref="N125">ConvertToSkill(B125,$D$1)</f>
        <v>Not matched</v>
      </c>
      <c r="O125" s="3">
        <f t="shared" si="2"/>
        <v>0</v>
      </c>
    </row>
    <row r="126" spans="13:15" x14ac:dyDescent="0.25">
      <c r="M126" s="2">
        <f t="shared" si="3"/>
        <v>0</v>
      </c>
      <c r="N126" t="str" cm="1">
        <f t="array" ref="N126">ConvertToSkill(B126,$D$1)</f>
        <v>Not matched</v>
      </c>
      <c r="O126" s="3">
        <f t="shared" si="2"/>
        <v>0</v>
      </c>
    </row>
    <row r="127" spans="13:15" x14ac:dyDescent="0.25">
      <c r="M127" s="2">
        <f t="shared" si="3"/>
        <v>0</v>
      </c>
      <c r="N127" t="str" cm="1">
        <f t="array" ref="N127">ConvertToSkill(B127,$D$1)</f>
        <v>Not matched</v>
      </c>
      <c r="O127" s="3">
        <f t="shared" si="2"/>
        <v>0</v>
      </c>
    </row>
    <row r="128" spans="13:15" x14ac:dyDescent="0.25">
      <c r="M128" s="2">
        <f t="shared" si="3"/>
        <v>0</v>
      </c>
      <c r="N128" t="str" cm="1">
        <f t="array" ref="N128">ConvertToSkill(B128,$D$1)</f>
        <v>Not matched</v>
      </c>
      <c r="O128" s="3">
        <f t="shared" si="2"/>
        <v>0</v>
      </c>
    </row>
    <row r="129" spans="13:15" x14ac:dyDescent="0.25">
      <c r="M129" s="2">
        <f t="shared" si="3"/>
        <v>0</v>
      </c>
      <c r="N129" t="str" cm="1">
        <f t="array" ref="N129">ConvertToSkill(B129,$D$1)</f>
        <v>Not matched</v>
      </c>
      <c r="O129" s="3">
        <f t="shared" si="2"/>
        <v>0</v>
      </c>
    </row>
    <row r="130" spans="13:15" x14ac:dyDescent="0.25">
      <c r="M130" s="2">
        <f t="shared" si="3"/>
        <v>0</v>
      </c>
      <c r="N130" t="str" cm="1">
        <f t="array" ref="N130">ConvertToSkill(B130,$D$1)</f>
        <v>Not matched</v>
      </c>
      <c r="O130" s="3">
        <f t="shared" ref="O130:O193" si="4">(M130-M129)*24*60*60</f>
        <v>0</v>
      </c>
    </row>
    <row r="131" spans="13:15" x14ac:dyDescent="0.25">
      <c r="M131" s="2">
        <f t="shared" ref="M131:M194" si="5">MROUND($A131,1/86400)</f>
        <v>0</v>
      </c>
      <c r="N131" t="str" cm="1">
        <f t="array" ref="N131">ConvertToSkill(B131,$D$1)</f>
        <v>Not matched</v>
      </c>
      <c r="O131" s="3">
        <f t="shared" si="4"/>
        <v>0</v>
      </c>
    </row>
    <row r="132" spans="13:15" x14ac:dyDescent="0.25">
      <c r="M132" s="2">
        <f t="shared" si="5"/>
        <v>0</v>
      </c>
      <c r="N132" t="str" cm="1">
        <f t="array" ref="N132">ConvertToSkill(B132,$D$1)</f>
        <v>Not matched</v>
      </c>
      <c r="O132" s="3">
        <f t="shared" si="4"/>
        <v>0</v>
      </c>
    </row>
    <row r="133" spans="13:15" x14ac:dyDescent="0.25">
      <c r="M133" s="2">
        <f t="shared" si="5"/>
        <v>0</v>
      </c>
      <c r="N133" t="str" cm="1">
        <f t="array" ref="N133">ConvertToSkill(B133,$D$1)</f>
        <v>Not matched</v>
      </c>
      <c r="O133" s="3">
        <f t="shared" si="4"/>
        <v>0</v>
      </c>
    </row>
    <row r="134" spans="13:15" x14ac:dyDescent="0.25">
      <c r="M134" s="2">
        <f t="shared" si="5"/>
        <v>0</v>
      </c>
      <c r="N134" t="str" cm="1">
        <f t="array" ref="N134">ConvertToSkill(B134,$D$1)</f>
        <v>Not matched</v>
      </c>
      <c r="O134" s="3">
        <f t="shared" si="4"/>
        <v>0</v>
      </c>
    </row>
    <row r="135" spans="13:15" x14ac:dyDescent="0.25">
      <c r="M135" s="2">
        <f t="shared" si="5"/>
        <v>0</v>
      </c>
      <c r="N135" t="str" cm="1">
        <f t="array" ref="N135">ConvertToSkill(B135,$D$1)</f>
        <v>Not matched</v>
      </c>
      <c r="O135" s="3">
        <f t="shared" si="4"/>
        <v>0</v>
      </c>
    </row>
    <row r="136" spans="13:15" x14ac:dyDescent="0.25">
      <c r="M136" s="2">
        <f t="shared" si="5"/>
        <v>0</v>
      </c>
      <c r="N136" t="str" cm="1">
        <f t="array" ref="N136">ConvertToSkill(B136,$D$1)</f>
        <v>Not matched</v>
      </c>
      <c r="O136" s="3">
        <f t="shared" si="4"/>
        <v>0</v>
      </c>
    </row>
    <row r="137" spans="13:15" x14ac:dyDescent="0.25">
      <c r="M137" s="2">
        <f t="shared" si="5"/>
        <v>0</v>
      </c>
      <c r="N137" t="str" cm="1">
        <f t="array" ref="N137">ConvertToSkill(B137,$D$1)</f>
        <v>Not matched</v>
      </c>
      <c r="O137" s="3">
        <f t="shared" si="4"/>
        <v>0</v>
      </c>
    </row>
    <row r="138" spans="13:15" x14ac:dyDescent="0.25">
      <c r="M138" s="2">
        <f t="shared" si="5"/>
        <v>0</v>
      </c>
      <c r="N138" t="str" cm="1">
        <f t="array" ref="N138">ConvertToSkill(B138,$D$1)</f>
        <v>Not matched</v>
      </c>
      <c r="O138" s="3">
        <f t="shared" si="4"/>
        <v>0</v>
      </c>
    </row>
    <row r="139" spans="13:15" x14ac:dyDescent="0.25">
      <c r="M139" s="2">
        <f t="shared" si="5"/>
        <v>0</v>
      </c>
      <c r="N139" t="str" cm="1">
        <f t="array" ref="N139">ConvertToSkill(B139,$D$1)</f>
        <v>Not matched</v>
      </c>
      <c r="O139" s="3">
        <f t="shared" si="4"/>
        <v>0</v>
      </c>
    </row>
    <row r="140" spans="13:15" x14ac:dyDescent="0.25">
      <c r="M140" s="2">
        <f t="shared" si="5"/>
        <v>0</v>
      </c>
      <c r="N140" t="str" cm="1">
        <f t="array" ref="N140">ConvertToSkill(B140,$D$1)</f>
        <v>Not matched</v>
      </c>
      <c r="O140" s="3">
        <f t="shared" si="4"/>
        <v>0</v>
      </c>
    </row>
    <row r="141" spans="13:15" x14ac:dyDescent="0.25">
      <c r="M141" s="2">
        <f t="shared" si="5"/>
        <v>0</v>
      </c>
      <c r="N141" t="str" cm="1">
        <f t="array" ref="N141">ConvertToSkill(B141,$D$1)</f>
        <v>Not matched</v>
      </c>
      <c r="O141" s="3">
        <f t="shared" si="4"/>
        <v>0</v>
      </c>
    </row>
    <row r="142" spans="13:15" x14ac:dyDescent="0.25">
      <c r="M142" s="2">
        <f t="shared" si="5"/>
        <v>0</v>
      </c>
      <c r="N142" t="str" cm="1">
        <f t="array" ref="N142">ConvertToSkill(B142,$D$1)</f>
        <v>Not matched</v>
      </c>
      <c r="O142" s="3">
        <f t="shared" si="4"/>
        <v>0</v>
      </c>
    </row>
    <row r="143" spans="13:15" x14ac:dyDescent="0.25">
      <c r="M143" s="2">
        <f t="shared" si="5"/>
        <v>0</v>
      </c>
      <c r="N143" t="str" cm="1">
        <f t="array" ref="N143">ConvertToSkill(B143,$D$1)</f>
        <v>Not matched</v>
      </c>
      <c r="O143" s="3">
        <f t="shared" si="4"/>
        <v>0</v>
      </c>
    </row>
    <row r="144" spans="13:15" x14ac:dyDescent="0.25">
      <c r="M144" s="2">
        <f t="shared" si="5"/>
        <v>0</v>
      </c>
      <c r="N144" t="str" cm="1">
        <f t="array" ref="N144">ConvertToSkill(B144,$D$1)</f>
        <v>Not matched</v>
      </c>
      <c r="O144" s="3">
        <f t="shared" si="4"/>
        <v>0</v>
      </c>
    </row>
    <row r="145" spans="13:15" x14ac:dyDescent="0.25">
      <c r="M145" s="2">
        <f t="shared" si="5"/>
        <v>0</v>
      </c>
      <c r="N145" t="str" cm="1">
        <f t="array" ref="N145">ConvertToSkill(B145,$D$1)</f>
        <v>Not matched</v>
      </c>
      <c r="O145" s="3">
        <f t="shared" si="4"/>
        <v>0</v>
      </c>
    </row>
    <row r="146" spans="13:15" x14ac:dyDescent="0.25">
      <c r="M146" s="2">
        <f t="shared" si="5"/>
        <v>0</v>
      </c>
      <c r="N146" t="str" cm="1">
        <f t="array" ref="N146">ConvertToSkill(B146,$D$1)</f>
        <v>Not matched</v>
      </c>
      <c r="O146" s="3">
        <f t="shared" si="4"/>
        <v>0</v>
      </c>
    </row>
    <row r="147" spans="13:15" x14ac:dyDescent="0.25">
      <c r="M147" s="2">
        <f t="shared" si="5"/>
        <v>0</v>
      </c>
      <c r="N147" t="str" cm="1">
        <f t="array" ref="N147">ConvertToSkill(B147,$D$1)</f>
        <v>Not matched</v>
      </c>
      <c r="O147" s="3">
        <f t="shared" si="4"/>
        <v>0</v>
      </c>
    </row>
    <row r="148" spans="13:15" x14ac:dyDescent="0.25">
      <c r="M148" s="2">
        <f t="shared" si="5"/>
        <v>0</v>
      </c>
      <c r="N148" t="str" cm="1">
        <f t="array" ref="N148">ConvertToSkill(B148,$D$1)</f>
        <v>Not matched</v>
      </c>
      <c r="O148" s="3">
        <f t="shared" si="4"/>
        <v>0</v>
      </c>
    </row>
    <row r="149" spans="13:15" x14ac:dyDescent="0.25">
      <c r="M149" s="2">
        <f t="shared" si="5"/>
        <v>0</v>
      </c>
      <c r="N149" t="str" cm="1">
        <f t="array" ref="N149">ConvertToSkill(B149,$D$1)</f>
        <v>Not matched</v>
      </c>
      <c r="O149" s="3">
        <f t="shared" si="4"/>
        <v>0</v>
      </c>
    </row>
    <row r="150" spans="13:15" x14ac:dyDescent="0.25">
      <c r="M150" s="2">
        <f t="shared" si="5"/>
        <v>0</v>
      </c>
      <c r="N150" t="str" cm="1">
        <f t="array" ref="N150">ConvertToSkill(B150,$D$1)</f>
        <v>Not matched</v>
      </c>
      <c r="O150" s="3">
        <f t="shared" si="4"/>
        <v>0</v>
      </c>
    </row>
    <row r="151" spans="13:15" x14ac:dyDescent="0.25">
      <c r="M151" s="2">
        <f t="shared" si="5"/>
        <v>0</v>
      </c>
      <c r="N151" t="str" cm="1">
        <f t="array" ref="N151">ConvertToSkill(B151,$D$1)</f>
        <v>Not matched</v>
      </c>
      <c r="O151" s="3">
        <f t="shared" si="4"/>
        <v>0</v>
      </c>
    </row>
    <row r="152" spans="13:15" x14ac:dyDescent="0.25">
      <c r="M152" s="2">
        <f t="shared" si="5"/>
        <v>0</v>
      </c>
      <c r="N152" t="str" cm="1">
        <f t="array" ref="N152">ConvertToSkill(B152,$D$1)</f>
        <v>Not matched</v>
      </c>
      <c r="O152" s="3">
        <f t="shared" si="4"/>
        <v>0</v>
      </c>
    </row>
    <row r="153" spans="13:15" x14ac:dyDescent="0.25">
      <c r="M153" s="2">
        <f t="shared" si="5"/>
        <v>0</v>
      </c>
      <c r="N153" t="str" cm="1">
        <f t="array" ref="N153">ConvertToSkill(B153,$D$1)</f>
        <v>Not matched</v>
      </c>
      <c r="O153" s="3">
        <f t="shared" si="4"/>
        <v>0</v>
      </c>
    </row>
    <row r="154" spans="13:15" x14ac:dyDescent="0.25">
      <c r="M154" s="2">
        <f t="shared" si="5"/>
        <v>0</v>
      </c>
      <c r="N154" t="str" cm="1">
        <f t="array" ref="N154">ConvertToSkill(B154,$D$1)</f>
        <v>Not matched</v>
      </c>
      <c r="O154" s="3">
        <f t="shared" si="4"/>
        <v>0</v>
      </c>
    </row>
    <row r="155" spans="13:15" x14ac:dyDescent="0.25">
      <c r="M155" s="2">
        <f t="shared" si="5"/>
        <v>0</v>
      </c>
      <c r="N155" t="str" cm="1">
        <f t="array" ref="N155">ConvertToSkill(B155,$D$1)</f>
        <v>Not matched</v>
      </c>
      <c r="O155" s="3">
        <f t="shared" si="4"/>
        <v>0</v>
      </c>
    </row>
    <row r="156" spans="13:15" x14ac:dyDescent="0.25">
      <c r="M156" s="2">
        <f t="shared" si="5"/>
        <v>0</v>
      </c>
      <c r="N156" t="str" cm="1">
        <f t="array" ref="N156">ConvertToSkill(B156,$D$1)</f>
        <v>Not matched</v>
      </c>
      <c r="O156" s="3">
        <f t="shared" si="4"/>
        <v>0</v>
      </c>
    </row>
    <row r="157" spans="13:15" x14ac:dyDescent="0.25">
      <c r="M157" s="2">
        <f t="shared" si="5"/>
        <v>0</v>
      </c>
      <c r="N157" t="str" cm="1">
        <f t="array" ref="N157">ConvertToSkill(B157,$D$1)</f>
        <v>Not matched</v>
      </c>
      <c r="O157" s="3">
        <f t="shared" si="4"/>
        <v>0</v>
      </c>
    </row>
    <row r="158" spans="13:15" x14ac:dyDescent="0.25">
      <c r="M158" s="2">
        <f t="shared" si="5"/>
        <v>0</v>
      </c>
      <c r="N158" t="str" cm="1">
        <f t="array" ref="N158">ConvertToSkill(B158,$D$1)</f>
        <v>Not matched</v>
      </c>
      <c r="O158" s="3">
        <f t="shared" si="4"/>
        <v>0</v>
      </c>
    </row>
    <row r="159" spans="13:15" x14ac:dyDescent="0.25">
      <c r="M159" s="2">
        <f t="shared" si="5"/>
        <v>0</v>
      </c>
      <c r="N159" t="str" cm="1">
        <f t="array" ref="N159">ConvertToSkill(B159,$D$1)</f>
        <v>Not matched</v>
      </c>
      <c r="O159" s="3">
        <f t="shared" si="4"/>
        <v>0</v>
      </c>
    </row>
    <row r="160" spans="13:15" x14ac:dyDescent="0.25">
      <c r="M160" s="2">
        <f t="shared" si="5"/>
        <v>0</v>
      </c>
      <c r="N160" t="str" cm="1">
        <f t="array" ref="N160">ConvertToSkill(B160,$D$1)</f>
        <v>Not matched</v>
      </c>
      <c r="O160" s="3">
        <f t="shared" si="4"/>
        <v>0</v>
      </c>
    </row>
    <row r="161" spans="13:15" x14ac:dyDescent="0.25">
      <c r="M161" s="2">
        <f t="shared" si="5"/>
        <v>0</v>
      </c>
      <c r="N161" t="str" cm="1">
        <f t="array" ref="N161">ConvertToSkill(B161,$D$1)</f>
        <v>Not matched</v>
      </c>
      <c r="O161" s="3">
        <f t="shared" si="4"/>
        <v>0</v>
      </c>
    </row>
    <row r="162" spans="13:15" x14ac:dyDescent="0.25">
      <c r="M162" s="2">
        <f t="shared" si="5"/>
        <v>0</v>
      </c>
      <c r="N162" t="str" cm="1">
        <f t="array" ref="N162">ConvertToSkill(B162,$D$1)</f>
        <v>Not matched</v>
      </c>
      <c r="O162" s="3">
        <f t="shared" si="4"/>
        <v>0</v>
      </c>
    </row>
    <row r="163" spans="13:15" x14ac:dyDescent="0.25">
      <c r="M163" s="2">
        <f t="shared" si="5"/>
        <v>0</v>
      </c>
      <c r="N163" t="str" cm="1">
        <f t="array" ref="N163">ConvertToSkill(B163,$D$1)</f>
        <v>Not matched</v>
      </c>
      <c r="O163" s="3">
        <f t="shared" si="4"/>
        <v>0</v>
      </c>
    </row>
    <row r="164" spans="13:15" x14ac:dyDescent="0.25">
      <c r="M164" s="2">
        <f t="shared" si="5"/>
        <v>0</v>
      </c>
      <c r="N164" t="str" cm="1">
        <f t="array" ref="N164">ConvertToSkill(B164,$D$1)</f>
        <v>Not matched</v>
      </c>
      <c r="O164" s="3">
        <f t="shared" si="4"/>
        <v>0</v>
      </c>
    </row>
    <row r="165" spans="13:15" x14ac:dyDescent="0.25">
      <c r="M165" s="2">
        <f t="shared" si="5"/>
        <v>0</v>
      </c>
      <c r="N165" t="str" cm="1">
        <f t="array" ref="N165">ConvertToSkill(B165,$D$1)</f>
        <v>Not matched</v>
      </c>
      <c r="O165" s="3">
        <f t="shared" si="4"/>
        <v>0</v>
      </c>
    </row>
    <row r="166" spans="13:15" x14ac:dyDescent="0.25">
      <c r="M166" s="2">
        <f t="shared" si="5"/>
        <v>0</v>
      </c>
      <c r="N166" t="str" cm="1">
        <f t="array" ref="N166">ConvertToSkill(B166,$D$1)</f>
        <v>Not matched</v>
      </c>
      <c r="O166" s="3">
        <f t="shared" si="4"/>
        <v>0</v>
      </c>
    </row>
    <row r="167" spans="13:15" x14ac:dyDescent="0.25">
      <c r="M167" s="2">
        <f t="shared" si="5"/>
        <v>0</v>
      </c>
      <c r="N167" t="str" cm="1">
        <f t="array" ref="N167">ConvertToSkill(B167,$D$1)</f>
        <v>Not matched</v>
      </c>
      <c r="O167" s="3">
        <f t="shared" si="4"/>
        <v>0</v>
      </c>
    </row>
    <row r="168" spans="13:15" x14ac:dyDescent="0.25">
      <c r="M168" s="2">
        <f t="shared" si="5"/>
        <v>0</v>
      </c>
      <c r="N168" t="str" cm="1">
        <f t="array" ref="N168">ConvertToSkill(B168,$D$1)</f>
        <v>Not matched</v>
      </c>
      <c r="O168" s="3">
        <f t="shared" si="4"/>
        <v>0</v>
      </c>
    </row>
    <row r="169" spans="13:15" x14ac:dyDescent="0.25">
      <c r="M169" s="2">
        <f t="shared" si="5"/>
        <v>0</v>
      </c>
      <c r="N169" t="str" cm="1">
        <f t="array" ref="N169">ConvertToSkill(B169,$D$1)</f>
        <v>Not matched</v>
      </c>
      <c r="O169" s="3">
        <f t="shared" si="4"/>
        <v>0</v>
      </c>
    </row>
    <row r="170" spans="13:15" x14ac:dyDescent="0.25">
      <c r="M170" s="2">
        <f t="shared" si="5"/>
        <v>0</v>
      </c>
      <c r="N170" t="str" cm="1">
        <f t="array" ref="N170">ConvertToSkill(B170,$D$1)</f>
        <v>Not matched</v>
      </c>
      <c r="O170" s="3">
        <f t="shared" si="4"/>
        <v>0</v>
      </c>
    </row>
    <row r="171" spans="13:15" x14ac:dyDescent="0.25">
      <c r="M171" s="2">
        <f t="shared" si="5"/>
        <v>0</v>
      </c>
      <c r="N171" t="str" cm="1">
        <f t="array" ref="N171">ConvertToSkill(B171,$D$1)</f>
        <v>Not matched</v>
      </c>
      <c r="O171" s="3">
        <f t="shared" si="4"/>
        <v>0</v>
      </c>
    </row>
    <row r="172" spans="13:15" x14ac:dyDescent="0.25">
      <c r="M172" s="2">
        <f t="shared" si="5"/>
        <v>0</v>
      </c>
      <c r="N172" t="str" cm="1">
        <f t="array" ref="N172">ConvertToSkill(B172,$D$1)</f>
        <v>Not matched</v>
      </c>
      <c r="O172" s="3">
        <f t="shared" si="4"/>
        <v>0</v>
      </c>
    </row>
    <row r="173" spans="13:15" x14ac:dyDescent="0.25">
      <c r="M173" s="2">
        <f t="shared" si="5"/>
        <v>0</v>
      </c>
      <c r="N173" t="str" cm="1">
        <f t="array" ref="N173">ConvertToSkill(B173,$D$1)</f>
        <v>Not matched</v>
      </c>
      <c r="O173" s="3">
        <f t="shared" si="4"/>
        <v>0</v>
      </c>
    </row>
    <row r="174" spans="13:15" x14ac:dyDescent="0.25">
      <c r="M174" s="2">
        <f t="shared" si="5"/>
        <v>0</v>
      </c>
      <c r="N174" t="str" cm="1">
        <f t="array" ref="N174">ConvertToSkill(B174,$D$1)</f>
        <v>Not matched</v>
      </c>
      <c r="O174" s="3">
        <f t="shared" si="4"/>
        <v>0</v>
      </c>
    </row>
    <row r="175" spans="13:15" x14ac:dyDescent="0.25">
      <c r="M175" s="2">
        <f t="shared" si="5"/>
        <v>0</v>
      </c>
      <c r="N175" t="str" cm="1">
        <f t="array" ref="N175">ConvertToSkill(B175,$D$1)</f>
        <v>Not matched</v>
      </c>
      <c r="O175" s="3">
        <f t="shared" si="4"/>
        <v>0</v>
      </c>
    </row>
    <row r="176" spans="13:15" x14ac:dyDescent="0.25">
      <c r="M176" s="2">
        <f t="shared" si="5"/>
        <v>0</v>
      </c>
      <c r="N176" t="str" cm="1">
        <f t="array" ref="N176">ConvertToSkill(B176,$D$1)</f>
        <v>Not matched</v>
      </c>
      <c r="O176" s="3">
        <f t="shared" si="4"/>
        <v>0</v>
      </c>
    </row>
    <row r="177" spans="13:15" x14ac:dyDescent="0.25">
      <c r="M177" s="2">
        <f t="shared" si="5"/>
        <v>0</v>
      </c>
      <c r="N177" t="str" cm="1">
        <f t="array" ref="N177">ConvertToSkill(B177,$D$1)</f>
        <v>Not matched</v>
      </c>
      <c r="O177" s="3">
        <f t="shared" si="4"/>
        <v>0</v>
      </c>
    </row>
    <row r="178" spans="13:15" x14ac:dyDescent="0.25">
      <c r="M178" s="2">
        <f t="shared" si="5"/>
        <v>0</v>
      </c>
      <c r="N178" t="str" cm="1">
        <f t="array" ref="N178">ConvertToSkill(B178,$D$1)</f>
        <v>Not matched</v>
      </c>
      <c r="O178" s="3">
        <f t="shared" si="4"/>
        <v>0</v>
      </c>
    </row>
    <row r="179" spans="13:15" x14ac:dyDescent="0.25">
      <c r="M179" s="2">
        <f t="shared" si="5"/>
        <v>0</v>
      </c>
      <c r="N179" t="str" cm="1">
        <f t="array" ref="N179">ConvertToSkill(B179,$D$1)</f>
        <v>Not matched</v>
      </c>
      <c r="O179" s="3">
        <f t="shared" si="4"/>
        <v>0</v>
      </c>
    </row>
    <row r="180" spans="13:15" x14ac:dyDescent="0.25">
      <c r="M180" s="2">
        <f t="shared" si="5"/>
        <v>0</v>
      </c>
      <c r="N180" t="str" cm="1">
        <f t="array" ref="N180">ConvertToSkill(B180,$D$1)</f>
        <v>Not matched</v>
      </c>
      <c r="O180" s="3">
        <f t="shared" si="4"/>
        <v>0</v>
      </c>
    </row>
    <row r="181" spans="13:15" x14ac:dyDescent="0.25">
      <c r="M181" s="2">
        <f t="shared" si="5"/>
        <v>0</v>
      </c>
      <c r="N181" t="str" cm="1">
        <f t="array" ref="N181">ConvertToSkill(B181,$D$1)</f>
        <v>Not matched</v>
      </c>
      <c r="O181" s="3">
        <f t="shared" si="4"/>
        <v>0</v>
      </c>
    </row>
    <row r="182" spans="13:15" x14ac:dyDescent="0.25">
      <c r="M182" s="2">
        <f t="shared" si="5"/>
        <v>0</v>
      </c>
      <c r="N182" t="str" cm="1">
        <f t="array" ref="N182">ConvertToSkill(B182,$D$1)</f>
        <v>Not matched</v>
      </c>
      <c r="O182" s="3">
        <f t="shared" si="4"/>
        <v>0</v>
      </c>
    </row>
    <row r="183" spans="13:15" x14ac:dyDescent="0.25">
      <c r="M183" s="2">
        <f t="shared" si="5"/>
        <v>0</v>
      </c>
      <c r="N183" t="str" cm="1">
        <f t="array" ref="N183">ConvertToSkill(B183,$D$1)</f>
        <v>Not matched</v>
      </c>
      <c r="O183" s="3">
        <f t="shared" si="4"/>
        <v>0</v>
      </c>
    </row>
    <row r="184" spans="13:15" x14ac:dyDescent="0.25">
      <c r="M184" s="2">
        <f t="shared" si="5"/>
        <v>0</v>
      </c>
      <c r="N184" t="str" cm="1">
        <f t="array" ref="N184">ConvertToSkill(B184,$D$1)</f>
        <v>Not matched</v>
      </c>
      <c r="O184" s="3">
        <f t="shared" si="4"/>
        <v>0</v>
      </c>
    </row>
    <row r="185" spans="13:15" x14ac:dyDescent="0.25">
      <c r="M185" s="2">
        <f t="shared" si="5"/>
        <v>0</v>
      </c>
      <c r="N185" t="str" cm="1">
        <f t="array" ref="N185">ConvertToSkill(B185,$D$1)</f>
        <v>Not matched</v>
      </c>
      <c r="O185" s="3">
        <f t="shared" si="4"/>
        <v>0</v>
      </c>
    </row>
    <row r="186" spans="13:15" x14ac:dyDescent="0.25">
      <c r="M186" s="2">
        <f t="shared" si="5"/>
        <v>0</v>
      </c>
      <c r="N186" t="str" cm="1">
        <f t="array" ref="N186">ConvertToSkill(B186,$D$1)</f>
        <v>Not matched</v>
      </c>
      <c r="O186" s="3">
        <f t="shared" si="4"/>
        <v>0</v>
      </c>
    </row>
    <row r="187" spans="13:15" x14ac:dyDescent="0.25">
      <c r="M187" s="2">
        <f t="shared" si="5"/>
        <v>0</v>
      </c>
      <c r="N187" t="str" cm="1">
        <f t="array" ref="N187">ConvertToSkill(B187,$D$1)</f>
        <v>Not matched</v>
      </c>
      <c r="O187" s="3">
        <f t="shared" si="4"/>
        <v>0</v>
      </c>
    </row>
    <row r="188" spans="13:15" x14ac:dyDescent="0.25">
      <c r="M188" s="2">
        <f t="shared" si="5"/>
        <v>0</v>
      </c>
      <c r="N188" t="str" cm="1">
        <f t="array" ref="N188">ConvertToSkill(B188,$D$1)</f>
        <v>Not matched</v>
      </c>
      <c r="O188" s="3">
        <f t="shared" si="4"/>
        <v>0</v>
      </c>
    </row>
    <row r="189" spans="13:15" x14ac:dyDescent="0.25">
      <c r="M189" s="2">
        <f t="shared" si="5"/>
        <v>0</v>
      </c>
      <c r="N189" t="str" cm="1">
        <f t="array" ref="N189">ConvertToSkill(B189,$D$1)</f>
        <v>Not matched</v>
      </c>
      <c r="O189" s="3">
        <f t="shared" si="4"/>
        <v>0</v>
      </c>
    </row>
    <row r="190" spans="13:15" x14ac:dyDescent="0.25">
      <c r="M190" s="2">
        <f t="shared" si="5"/>
        <v>0</v>
      </c>
      <c r="N190" t="str" cm="1">
        <f t="array" ref="N190">ConvertToSkill(B190,$D$1)</f>
        <v>Not matched</v>
      </c>
      <c r="O190" s="3">
        <f t="shared" si="4"/>
        <v>0</v>
      </c>
    </row>
    <row r="191" spans="13:15" x14ac:dyDescent="0.25">
      <c r="M191" s="2">
        <f t="shared" si="5"/>
        <v>0</v>
      </c>
      <c r="N191" t="str" cm="1">
        <f t="array" ref="N191">ConvertToSkill(B191,$D$1)</f>
        <v>Not matched</v>
      </c>
      <c r="O191" s="3">
        <f t="shared" si="4"/>
        <v>0</v>
      </c>
    </row>
    <row r="192" spans="13:15" x14ac:dyDescent="0.25">
      <c r="M192" s="2">
        <f t="shared" si="5"/>
        <v>0</v>
      </c>
      <c r="N192" t="str" cm="1">
        <f t="array" ref="N192">ConvertToSkill(B192,$D$1)</f>
        <v>Not matched</v>
      </c>
      <c r="O192" s="3">
        <f t="shared" si="4"/>
        <v>0</v>
      </c>
    </row>
    <row r="193" spans="13:15" x14ac:dyDescent="0.25">
      <c r="M193" s="2">
        <f t="shared" si="5"/>
        <v>0</v>
      </c>
      <c r="N193" t="str" cm="1">
        <f t="array" ref="N193">ConvertToSkill(B193,$D$1)</f>
        <v>Not matched</v>
      </c>
      <c r="O193" s="3">
        <f t="shared" si="4"/>
        <v>0</v>
      </c>
    </row>
    <row r="194" spans="13:15" x14ac:dyDescent="0.25">
      <c r="M194" s="2">
        <f t="shared" si="5"/>
        <v>0</v>
      </c>
      <c r="N194" t="str" cm="1">
        <f t="array" ref="N194">ConvertToSkill(B194,$D$1)</f>
        <v>Not matched</v>
      </c>
      <c r="O194" s="3">
        <f t="shared" ref="O194:O257" si="6">(M194-M193)*24*60*60</f>
        <v>0</v>
      </c>
    </row>
    <row r="195" spans="13:15" x14ac:dyDescent="0.25">
      <c r="M195" s="2">
        <f t="shared" ref="M195:M258" si="7">MROUND($A195,1/86400)</f>
        <v>0</v>
      </c>
      <c r="N195" t="str" cm="1">
        <f t="array" ref="N195">ConvertToSkill(B195,$D$1)</f>
        <v>Not matched</v>
      </c>
      <c r="O195" s="3">
        <f t="shared" si="6"/>
        <v>0</v>
      </c>
    </row>
    <row r="196" spans="13:15" x14ac:dyDescent="0.25">
      <c r="M196" s="2">
        <f t="shared" si="7"/>
        <v>0</v>
      </c>
      <c r="N196" t="str" cm="1">
        <f t="array" ref="N196">ConvertToSkill(B196,$D$1)</f>
        <v>Not matched</v>
      </c>
      <c r="O196" s="3">
        <f t="shared" si="6"/>
        <v>0</v>
      </c>
    </row>
    <row r="197" spans="13:15" x14ac:dyDescent="0.25">
      <c r="M197" s="2">
        <f t="shared" si="7"/>
        <v>0</v>
      </c>
      <c r="N197" t="str" cm="1">
        <f t="array" ref="N197">ConvertToSkill(B197,$D$1)</f>
        <v>Not matched</v>
      </c>
      <c r="O197" s="3">
        <f t="shared" si="6"/>
        <v>0</v>
      </c>
    </row>
    <row r="198" spans="13:15" x14ac:dyDescent="0.25">
      <c r="M198" s="2">
        <f t="shared" si="7"/>
        <v>0</v>
      </c>
      <c r="N198" t="str" cm="1">
        <f t="array" ref="N198">ConvertToSkill(B198,$D$1)</f>
        <v>Not matched</v>
      </c>
      <c r="O198" s="3">
        <f t="shared" si="6"/>
        <v>0</v>
      </c>
    </row>
    <row r="199" spans="13:15" x14ac:dyDescent="0.25">
      <c r="M199" s="2">
        <f t="shared" si="7"/>
        <v>0</v>
      </c>
      <c r="N199" t="str" cm="1">
        <f t="array" ref="N199">ConvertToSkill(B199,$D$1)</f>
        <v>Not matched</v>
      </c>
      <c r="O199" s="3">
        <f t="shared" si="6"/>
        <v>0</v>
      </c>
    </row>
    <row r="200" spans="13:15" x14ac:dyDescent="0.25">
      <c r="M200" s="2">
        <f t="shared" si="7"/>
        <v>0</v>
      </c>
      <c r="N200" t="str" cm="1">
        <f t="array" ref="N200">ConvertToSkill(B200,$D$1)</f>
        <v>Not matched</v>
      </c>
      <c r="O200" s="3">
        <f t="shared" si="6"/>
        <v>0</v>
      </c>
    </row>
    <row r="201" spans="13:15" x14ac:dyDescent="0.25">
      <c r="M201" s="2">
        <f t="shared" si="7"/>
        <v>0</v>
      </c>
      <c r="N201" t="str" cm="1">
        <f t="array" ref="N201">ConvertToSkill(B201,$D$1)</f>
        <v>Not matched</v>
      </c>
      <c r="O201" s="3">
        <f t="shared" si="6"/>
        <v>0</v>
      </c>
    </row>
    <row r="202" spans="13:15" x14ac:dyDescent="0.25">
      <c r="M202" s="2">
        <f t="shared" si="7"/>
        <v>0</v>
      </c>
      <c r="N202" t="str" cm="1">
        <f t="array" ref="N202">ConvertToSkill(B202,$D$1)</f>
        <v>Not matched</v>
      </c>
      <c r="O202" s="3">
        <f t="shared" si="6"/>
        <v>0</v>
      </c>
    </row>
    <row r="203" spans="13:15" x14ac:dyDescent="0.25">
      <c r="M203" s="2">
        <f t="shared" si="7"/>
        <v>0</v>
      </c>
      <c r="N203" t="str" cm="1">
        <f t="array" ref="N203">ConvertToSkill(B203,$D$1)</f>
        <v>Not matched</v>
      </c>
      <c r="O203" s="3">
        <f t="shared" si="6"/>
        <v>0</v>
      </c>
    </row>
    <row r="204" spans="13:15" x14ac:dyDescent="0.25">
      <c r="M204" s="2">
        <f t="shared" si="7"/>
        <v>0</v>
      </c>
      <c r="N204" t="str" cm="1">
        <f t="array" ref="N204">ConvertToSkill(B204,$D$1)</f>
        <v>Not matched</v>
      </c>
      <c r="O204" s="3">
        <f t="shared" si="6"/>
        <v>0</v>
      </c>
    </row>
    <row r="205" spans="13:15" x14ac:dyDescent="0.25">
      <c r="M205" s="2">
        <f t="shared" si="7"/>
        <v>0</v>
      </c>
      <c r="N205" t="str" cm="1">
        <f t="array" ref="N205">ConvertToSkill(B205,$D$1)</f>
        <v>Not matched</v>
      </c>
      <c r="O205" s="3">
        <f t="shared" si="6"/>
        <v>0</v>
      </c>
    </row>
    <row r="206" spans="13:15" x14ac:dyDescent="0.25">
      <c r="M206" s="2">
        <f t="shared" si="7"/>
        <v>0</v>
      </c>
      <c r="N206" t="str" cm="1">
        <f t="array" ref="N206">ConvertToSkill(B206,$D$1)</f>
        <v>Not matched</v>
      </c>
      <c r="O206" s="3">
        <f t="shared" si="6"/>
        <v>0</v>
      </c>
    </row>
    <row r="207" spans="13:15" x14ac:dyDescent="0.25">
      <c r="M207" s="2">
        <f t="shared" si="7"/>
        <v>0</v>
      </c>
      <c r="N207" t="str" cm="1">
        <f t="array" ref="N207">ConvertToSkill(B207,$D$1)</f>
        <v>Not matched</v>
      </c>
      <c r="O207" s="3">
        <f t="shared" si="6"/>
        <v>0</v>
      </c>
    </row>
    <row r="208" spans="13:15" x14ac:dyDescent="0.25">
      <c r="M208" s="2">
        <f t="shared" si="7"/>
        <v>0</v>
      </c>
      <c r="N208" t="str" cm="1">
        <f t="array" ref="N208">ConvertToSkill(B208,$D$1)</f>
        <v>Not matched</v>
      </c>
      <c r="O208" s="3">
        <f t="shared" si="6"/>
        <v>0</v>
      </c>
    </row>
    <row r="209" spans="13:15" x14ac:dyDescent="0.25">
      <c r="M209" s="2">
        <f t="shared" si="7"/>
        <v>0</v>
      </c>
      <c r="N209" t="str" cm="1">
        <f t="array" ref="N209">ConvertToSkill(B209,$D$1)</f>
        <v>Not matched</v>
      </c>
      <c r="O209" s="3">
        <f t="shared" si="6"/>
        <v>0</v>
      </c>
    </row>
    <row r="210" spans="13:15" x14ac:dyDescent="0.25">
      <c r="M210" s="2">
        <f t="shared" si="7"/>
        <v>0</v>
      </c>
      <c r="N210" t="str" cm="1">
        <f t="array" ref="N210">ConvertToSkill(B210,$D$1)</f>
        <v>Not matched</v>
      </c>
      <c r="O210" s="3">
        <f t="shared" si="6"/>
        <v>0</v>
      </c>
    </row>
    <row r="211" spans="13:15" x14ac:dyDescent="0.25">
      <c r="M211" s="2">
        <f t="shared" si="7"/>
        <v>0</v>
      </c>
      <c r="N211" t="str" cm="1">
        <f t="array" ref="N211">ConvertToSkill(B211,$D$1)</f>
        <v>Not matched</v>
      </c>
      <c r="O211" s="3">
        <f t="shared" si="6"/>
        <v>0</v>
      </c>
    </row>
    <row r="212" spans="13:15" x14ac:dyDescent="0.25">
      <c r="M212" s="2">
        <f t="shared" si="7"/>
        <v>0</v>
      </c>
      <c r="N212" t="str" cm="1">
        <f t="array" ref="N212">ConvertToSkill(B212,$D$1)</f>
        <v>Not matched</v>
      </c>
      <c r="O212" s="3">
        <f t="shared" si="6"/>
        <v>0</v>
      </c>
    </row>
    <row r="213" spans="13:15" x14ac:dyDescent="0.25">
      <c r="M213" s="2">
        <f t="shared" si="7"/>
        <v>0</v>
      </c>
      <c r="N213" t="str" cm="1">
        <f t="array" ref="N213">ConvertToSkill(B213,$D$1)</f>
        <v>Not matched</v>
      </c>
      <c r="O213" s="3">
        <f t="shared" si="6"/>
        <v>0</v>
      </c>
    </row>
    <row r="214" spans="13:15" x14ac:dyDescent="0.25">
      <c r="M214" s="2">
        <f t="shared" si="7"/>
        <v>0</v>
      </c>
      <c r="N214" t="str" cm="1">
        <f t="array" ref="N214">ConvertToSkill(B214,$D$1)</f>
        <v>Not matched</v>
      </c>
      <c r="O214" s="3">
        <f t="shared" si="6"/>
        <v>0</v>
      </c>
    </row>
    <row r="215" spans="13:15" x14ac:dyDescent="0.25">
      <c r="M215" s="2">
        <f t="shared" si="7"/>
        <v>0</v>
      </c>
      <c r="N215" t="str" cm="1">
        <f t="array" ref="N215">ConvertToSkill(B215,$D$1)</f>
        <v>Not matched</v>
      </c>
      <c r="O215" s="3">
        <f t="shared" si="6"/>
        <v>0</v>
      </c>
    </row>
    <row r="216" spans="13:15" x14ac:dyDescent="0.25">
      <c r="M216" s="2">
        <f t="shared" si="7"/>
        <v>0</v>
      </c>
      <c r="N216" t="str" cm="1">
        <f t="array" ref="N216">ConvertToSkill(B216,$D$1)</f>
        <v>Not matched</v>
      </c>
      <c r="O216" s="3">
        <f t="shared" si="6"/>
        <v>0</v>
      </c>
    </row>
    <row r="217" spans="13:15" x14ac:dyDescent="0.25">
      <c r="M217" s="2">
        <f t="shared" si="7"/>
        <v>0</v>
      </c>
      <c r="N217" t="str" cm="1">
        <f t="array" ref="N217">ConvertToSkill(B217,$D$1)</f>
        <v>Not matched</v>
      </c>
      <c r="O217" s="3">
        <f t="shared" si="6"/>
        <v>0</v>
      </c>
    </row>
    <row r="218" spans="13:15" x14ac:dyDescent="0.25">
      <c r="M218" s="2">
        <f t="shared" si="7"/>
        <v>0</v>
      </c>
      <c r="N218" t="str" cm="1">
        <f t="array" ref="N218">ConvertToSkill(B218,$D$1)</f>
        <v>Not matched</v>
      </c>
      <c r="O218" s="3">
        <f t="shared" si="6"/>
        <v>0</v>
      </c>
    </row>
    <row r="219" spans="13:15" x14ac:dyDescent="0.25">
      <c r="M219" s="2">
        <f t="shared" si="7"/>
        <v>0</v>
      </c>
      <c r="N219" t="str" cm="1">
        <f t="array" ref="N219">ConvertToSkill(B219,$D$1)</f>
        <v>Not matched</v>
      </c>
      <c r="O219" s="3">
        <f t="shared" si="6"/>
        <v>0</v>
      </c>
    </row>
    <row r="220" spans="13:15" x14ac:dyDescent="0.25">
      <c r="M220" s="2">
        <f t="shared" si="7"/>
        <v>0</v>
      </c>
      <c r="N220" t="str" cm="1">
        <f t="array" ref="N220">ConvertToSkill(B220,$D$1)</f>
        <v>Not matched</v>
      </c>
      <c r="O220" s="3">
        <f t="shared" si="6"/>
        <v>0</v>
      </c>
    </row>
    <row r="221" spans="13:15" x14ac:dyDescent="0.25">
      <c r="M221" s="2">
        <f t="shared" si="7"/>
        <v>0</v>
      </c>
      <c r="N221" t="str" cm="1">
        <f t="array" ref="N221">ConvertToSkill(B221,$D$1)</f>
        <v>Not matched</v>
      </c>
      <c r="O221" s="3">
        <f t="shared" si="6"/>
        <v>0</v>
      </c>
    </row>
    <row r="222" spans="13:15" x14ac:dyDescent="0.25">
      <c r="M222" s="2">
        <f t="shared" si="7"/>
        <v>0</v>
      </c>
      <c r="N222" t="str" cm="1">
        <f t="array" ref="N222">ConvertToSkill(B222,$D$1)</f>
        <v>Not matched</v>
      </c>
      <c r="O222" s="3">
        <f t="shared" si="6"/>
        <v>0</v>
      </c>
    </row>
    <row r="223" spans="13:15" x14ac:dyDescent="0.25">
      <c r="M223" s="2">
        <f t="shared" si="7"/>
        <v>0</v>
      </c>
      <c r="N223" t="str" cm="1">
        <f t="array" ref="N223">ConvertToSkill(B223,$D$1)</f>
        <v>Not matched</v>
      </c>
      <c r="O223" s="3">
        <f t="shared" si="6"/>
        <v>0</v>
      </c>
    </row>
    <row r="224" spans="13:15" x14ac:dyDescent="0.25">
      <c r="M224" s="2">
        <f t="shared" si="7"/>
        <v>0</v>
      </c>
      <c r="N224" t="str" cm="1">
        <f t="array" ref="N224">ConvertToSkill(B224,$D$1)</f>
        <v>Not matched</v>
      </c>
      <c r="O224" s="3">
        <f t="shared" si="6"/>
        <v>0</v>
      </c>
    </row>
    <row r="225" spans="13:15" x14ac:dyDescent="0.25">
      <c r="M225" s="2">
        <f t="shared" si="7"/>
        <v>0</v>
      </c>
      <c r="N225" t="str" cm="1">
        <f t="array" ref="N225">ConvertToSkill(B225,$D$1)</f>
        <v>Not matched</v>
      </c>
      <c r="O225" s="3">
        <f t="shared" si="6"/>
        <v>0</v>
      </c>
    </row>
    <row r="226" spans="13:15" x14ac:dyDescent="0.25">
      <c r="M226" s="2">
        <f t="shared" si="7"/>
        <v>0</v>
      </c>
      <c r="N226" t="str" cm="1">
        <f t="array" ref="N226">ConvertToSkill(B226,$D$1)</f>
        <v>Not matched</v>
      </c>
      <c r="O226" s="3">
        <f t="shared" si="6"/>
        <v>0</v>
      </c>
    </row>
    <row r="227" spans="13:15" x14ac:dyDescent="0.25">
      <c r="M227" s="2">
        <f t="shared" si="7"/>
        <v>0</v>
      </c>
      <c r="N227" t="str" cm="1">
        <f t="array" ref="N227">ConvertToSkill(B227,$D$1)</f>
        <v>Not matched</v>
      </c>
      <c r="O227" s="3">
        <f t="shared" si="6"/>
        <v>0</v>
      </c>
    </row>
    <row r="228" spans="13:15" x14ac:dyDescent="0.25">
      <c r="M228" s="2">
        <f t="shared" si="7"/>
        <v>0</v>
      </c>
      <c r="N228" t="str" cm="1">
        <f t="array" ref="N228">ConvertToSkill(B228,$D$1)</f>
        <v>Not matched</v>
      </c>
      <c r="O228" s="3">
        <f t="shared" si="6"/>
        <v>0</v>
      </c>
    </row>
    <row r="229" spans="13:15" x14ac:dyDescent="0.25">
      <c r="M229" s="2">
        <f t="shared" si="7"/>
        <v>0</v>
      </c>
      <c r="N229" t="str" cm="1">
        <f t="array" ref="N229">ConvertToSkill(B229,$D$1)</f>
        <v>Not matched</v>
      </c>
      <c r="O229" s="3">
        <f t="shared" si="6"/>
        <v>0</v>
      </c>
    </row>
    <row r="230" spans="13:15" x14ac:dyDescent="0.25">
      <c r="M230" s="2">
        <f t="shared" si="7"/>
        <v>0</v>
      </c>
      <c r="N230" t="str" cm="1">
        <f t="array" ref="N230">ConvertToSkill(B230,$D$1)</f>
        <v>Not matched</v>
      </c>
      <c r="O230" s="3">
        <f t="shared" si="6"/>
        <v>0</v>
      </c>
    </row>
    <row r="231" spans="13:15" x14ac:dyDescent="0.25">
      <c r="M231" s="2">
        <f t="shared" si="7"/>
        <v>0</v>
      </c>
      <c r="N231" t="str" cm="1">
        <f t="array" ref="N231">ConvertToSkill(B231,$D$1)</f>
        <v>Not matched</v>
      </c>
      <c r="O231" s="3">
        <f t="shared" si="6"/>
        <v>0</v>
      </c>
    </row>
    <row r="232" spans="13:15" x14ac:dyDescent="0.25">
      <c r="M232" s="2">
        <f t="shared" si="7"/>
        <v>0</v>
      </c>
      <c r="N232" t="str" cm="1">
        <f t="array" ref="N232">ConvertToSkill(B232,$D$1)</f>
        <v>Not matched</v>
      </c>
      <c r="O232" s="3">
        <f t="shared" si="6"/>
        <v>0</v>
      </c>
    </row>
    <row r="233" spans="13:15" x14ac:dyDescent="0.25">
      <c r="M233" s="2">
        <f t="shared" si="7"/>
        <v>0</v>
      </c>
      <c r="N233" t="str" cm="1">
        <f t="array" ref="N233">ConvertToSkill(B233,$D$1)</f>
        <v>Not matched</v>
      </c>
      <c r="O233" s="3">
        <f t="shared" si="6"/>
        <v>0</v>
      </c>
    </row>
    <row r="234" spans="13:15" x14ac:dyDescent="0.25">
      <c r="M234" s="2">
        <f t="shared" si="7"/>
        <v>0</v>
      </c>
      <c r="N234" t="str" cm="1">
        <f t="array" ref="N234">ConvertToSkill(B234,$D$1)</f>
        <v>Not matched</v>
      </c>
      <c r="O234" s="3">
        <f t="shared" si="6"/>
        <v>0</v>
      </c>
    </row>
    <row r="235" spans="13:15" x14ac:dyDescent="0.25">
      <c r="M235" s="2">
        <f t="shared" si="7"/>
        <v>0</v>
      </c>
      <c r="N235" t="str" cm="1">
        <f t="array" ref="N235">ConvertToSkill(B235,$D$1)</f>
        <v>Not matched</v>
      </c>
      <c r="O235" s="3">
        <f t="shared" si="6"/>
        <v>0</v>
      </c>
    </row>
    <row r="236" spans="13:15" x14ac:dyDescent="0.25">
      <c r="M236" s="2">
        <f t="shared" si="7"/>
        <v>0</v>
      </c>
      <c r="N236" t="str" cm="1">
        <f t="array" ref="N236">ConvertToSkill(B236,$D$1)</f>
        <v>Not matched</v>
      </c>
      <c r="O236" s="3">
        <f t="shared" si="6"/>
        <v>0</v>
      </c>
    </row>
    <row r="237" spans="13:15" x14ac:dyDescent="0.25">
      <c r="M237" s="2">
        <f t="shared" si="7"/>
        <v>0</v>
      </c>
      <c r="N237" t="str" cm="1">
        <f t="array" ref="N237">ConvertToSkill(B237,$D$1)</f>
        <v>Not matched</v>
      </c>
      <c r="O237" s="3">
        <f t="shared" si="6"/>
        <v>0</v>
      </c>
    </row>
    <row r="238" spans="13:15" x14ac:dyDescent="0.25">
      <c r="M238" s="2">
        <f t="shared" si="7"/>
        <v>0</v>
      </c>
      <c r="N238" t="str" cm="1">
        <f t="array" ref="N238">ConvertToSkill(B238,$D$1)</f>
        <v>Not matched</v>
      </c>
      <c r="O238" s="3">
        <f t="shared" si="6"/>
        <v>0</v>
      </c>
    </row>
    <row r="239" spans="13:15" x14ac:dyDescent="0.25">
      <c r="M239" s="2">
        <f t="shared" si="7"/>
        <v>0</v>
      </c>
      <c r="N239" t="str" cm="1">
        <f t="array" ref="N239">ConvertToSkill(B239,$D$1)</f>
        <v>Not matched</v>
      </c>
      <c r="O239" s="3">
        <f t="shared" si="6"/>
        <v>0</v>
      </c>
    </row>
    <row r="240" spans="13:15" x14ac:dyDescent="0.25">
      <c r="M240" s="2">
        <f t="shared" si="7"/>
        <v>0</v>
      </c>
      <c r="N240" t="str" cm="1">
        <f t="array" ref="N240">ConvertToSkill(B240,$D$1)</f>
        <v>Not matched</v>
      </c>
      <c r="O240" s="3">
        <f t="shared" si="6"/>
        <v>0</v>
      </c>
    </row>
    <row r="241" spans="13:15" x14ac:dyDescent="0.25">
      <c r="M241" s="2">
        <f t="shared" si="7"/>
        <v>0</v>
      </c>
      <c r="N241" t="str" cm="1">
        <f t="array" ref="N241">ConvertToSkill(B241,$D$1)</f>
        <v>Not matched</v>
      </c>
      <c r="O241" s="3">
        <f t="shared" si="6"/>
        <v>0</v>
      </c>
    </row>
    <row r="242" spans="13:15" x14ac:dyDescent="0.25">
      <c r="M242" s="2">
        <f t="shared" si="7"/>
        <v>0</v>
      </c>
      <c r="N242" t="str" cm="1">
        <f t="array" ref="N242">ConvertToSkill(B242,$D$1)</f>
        <v>Not matched</v>
      </c>
      <c r="O242" s="3">
        <f t="shared" si="6"/>
        <v>0</v>
      </c>
    </row>
    <row r="243" spans="13:15" x14ac:dyDescent="0.25">
      <c r="M243" s="2">
        <f t="shared" si="7"/>
        <v>0</v>
      </c>
      <c r="N243" t="str" cm="1">
        <f t="array" ref="N243">ConvertToSkill(B243,$D$1)</f>
        <v>Not matched</v>
      </c>
      <c r="O243" s="3">
        <f t="shared" si="6"/>
        <v>0</v>
      </c>
    </row>
    <row r="244" spans="13:15" x14ac:dyDescent="0.25">
      <c r="M244" s="2">
        <f t="shared" si="7"/>
        <v>0</v>
      </c>
      <c r="N244" t="str" cm="1">
        <f t="array" ref="N244">ConvertToSkill(B244,$D$1)</f>
        <v>Not matched</v>
      </c>
      <c r="O244" s="3">
        <f t="shared" si="6"/>
        <v>0</v>
      </c>
    </row>
    <row r="245" spans="13:15" x14ac:dyDescent="0.25">
      <c r="M245" s="2">
        <f t="shared" si="7"/>
        <v>0</v>
      </c>
      <c r="N245" t="str" cm="1">
        <f t="array" ref="N245">ConvertToSkill(B245,$D$1)</f>
        <v>Not matched</v>
      </c>
      <c r="O245" s="3">
        <f t="shared" si="6"/>
        <v>0</v>
      </c>
    </row>
    <row r="246" spans="13:15" x14ac:dyDescent="0.25">
      <c r="M246" s="2">
        <f t="shared" si="7"/>
        <v>0</v>
      </c>
      <c r="N246" t="str" cm="1">
        <f t="array" ref="N246">ConvertToSkill(B246,$D$1)</f>
        <v>Not matched</v>
      </c>
      <c r="O246" s="3">
        <f t="shared" si="6"/>
        <v>0</v>
      </c>
    </row>
    <row r="247" spans="13:15" x14ac:dyDescent="0.25">
      <c r="M247" s="2">
        <f t="shared" si="7"/>
        <v>0</v>
      </c>
      <c r="N247" t="str" cm="1">
        <f t="array" ref="N247">ConvertToSkill(B247,$D$1)</f>
        <v>Not matched</v>
      </c>
      <c r="O247" s="3">
        <f t="shared" si="6"/>
        <v>0</v>
      </c>
    </row>
    <row r="248" spans="13:15" x14ac:dyDescent="0.25">
      <c r="M248" s="2">
        <f t="shared" si="7"/>
        <v>0</v>
      </c>
      <c r="N248" t="str" cm="1">
        <f t="array" ref="N248">ConvertToSkill(B248,$D$1)</f>
        <v>Not matched</v>
      </c>
      <c r="O248" s="3">
        <f t="shared" si="6"/>
        <v>0</v>
      </c>
    </row>
    <row r="249" spans="13:15" x14ac:dyDescent="0.25">
      <c r="M249" s="2">
        <f t="shared" si="7"/>
        <v>0</v>
      </c>
      <c r="N249" t="str" cm="1">
        <f t="array" ref="N249">ConvertToSkill(B249,$D$1)</f>
        <v>Not matched</v>
      </c>
      <c r="O249" s="3">
        <f t="shared" si="6"/>
        <v>0</v>
      </c>
    </row>
    <row r="250" spans="13:15" x14ac:dyDescent="0.25">
      <c r="M250" s="2">
        <f t="shared" si="7"/>
        <v>0</v>
      </c>
      <c r="N250" t="str" cm="1">
        <f t="array" ref="N250">ConvertToSkill(B250,$D$1)</f>
        <v>Not matched</v>
      </c>
      <c r="O250" s="3">
        <f t="shared" si="6"/>
        <v>0</v>
      </c>
    </row>
    <row r="251" spans="13:15" x14ac:dyDescent="0.25">
      <c r="M251" s="2">
        <f t="shared" si="7"/>
        <v>0</v>
      </c>
      <c r="N251" t="str" cm="1">
        <f t="array" ref="N251">ConvertToSkill(B251,$D$1)</f>
        <v>Not matched</v>
      </c>
      <c r="O251" s="3">
        <f t="shared" si="6"/>
        <v>0</v>
      </c>
    </row>
    <row r="252" spans="13:15" x14ac:dyDescent="0.25">
      <c r="M252" s="2">
        <f t="shared" si="7"/>
        <v>0</v>
      </c>
      <c r="N252" t="str" cm="1">
        <f t="array" ref="N252">ConvertToSkill(B252,$D$1)</f>
        <v>Not matched</v>
      </c>
      <c r="O252" s="3">
        <f t="shared" si="6"/>
        <v>0</v>
      </c>
    </row>
    <row r="253" spans="13:15" x14ac:dyDescent="0.25">
      <c r="M253" s="2">
        <f t="shared" si="7"/>
        <v>0</v>
      </c>
      <c r="N253" t="str" cm="1">
        <f t="array" ref="N253">ConvertToSkill(B253,$D$1)</f>
        <v>Not matched</v>
      </c>
      <c r="O253" s="3">
        <f t="shared" si="6"/>
        <v>0</v>
      </c>
    </row>
    <row r="254" spans="13:15" x14ac:dyDescent="0.25">
      <c r="M254" s="2">
        <f t="shared" si="7"/>
        <v>0</v>
      </c>
      <c r="N254" t="str" cm="1">
        <f t="array" ref="N254">ConvertToSkill(B254,$D$1)</f>
        <v>Not matched</v>
      </c>
      <c r="O254" s="3">
        <f t="shared" si="6"/>
        <v>0</v>
      </c>
    </row>
    <row r="255" spans="13:15" x14ac:dyDescent="0.25">
      <c r="M255" s="2">
        <f t="shared" si="7"/>
        <v>0</v>
      </c>
      <c r="N255" t="str" cm="1">
        <f t="array" ref="N255">ConvertToSkill(B255,$D$1)</f>
        <v>Not matched</v>
      </c>
      <c r="O255" s="3">
        <f t="shared" si="6"/>
        <v>0</v>
      </c>
    </row>
    <row r="256" spans="13:15" x14ac:dyDescent="0.25">
      <c r="M256" s="2">
        <f t="shared" si="7"/>
        <v>0</v>
      </c>
      <c r="N256" t="str" cm="1">
        <f t="array" ref="N256">ConvertToSkill(B256,$D$1)</f>
        <v>Not matched</v>
      </c>
      <c r="O256" s="3">
        <f t="shared" si="6"/>
        <v>0</v>
      </c>
    </row>
    <row r="257" spans="13:15" x14ac:dyDescent="0.25">
      <c r="M257" s="2">
        <f t="shared" si="7"/>
        <v>0</v>
      </c>
      <c r="N257" t="str" cm="1">
        <f t="array" ref="N257">ConvertToSkill(B257,$D$1)</f>
        <v>Not matched</v>
      </c>
      <c r="O257" s="3">
        <f t="shared" si="6"/>
        <v>0</v>
      </c>
    </row>
    <row r="258" spans="13:15" x14ac:dyDescent="0.25">
      <c r="M258" s="2">
        <f t="shared" si="7"/>
        <v>0</v>
      </c>
      <c r="N258" t="str" cm="1">
        <f t="array" ref="N258">ConvertToSkill(B258,$D$1)</f>
        <v>Not matched</v>
      </c>
      <c r="O258" s="3">
        <f t="shared" ref="O258:O321" si="8">(M258-M257)*24*60*60</f>
        <v>0</v>
      </c>
    </row>
    <row r="259" spans="13:15" x14ac:dyDescent="0.25">
      <c r="M259" s="2">
        <f t="shared" ref="M259:M322" si="9">MROUND($A259,1/86400)</f>
        <v>0</v>
      </c>
      <c r="N259" t="str" cm="1">
        <f t="array" ref="N259">ConvertToSkill(B259,$D$1)</f>
        <v>Not matched</v>
      </c>
      <c r="O259" s="3">
        <f t="shared" si="8"/>
        <v>0</v>
      </c>
    </row>
    <row r="260" spans="13:15" x14ac:dyDescent="0.25">
      <c r="M260" s="2">
        <f t="shared" si="9"/>
        <v>0</v>
      </c>
      <c r="N260" t="str" cm="1">
        <f t="array" ref="N260">ConvertToSkill(B260,$D$1)</f>
        <v>Not matched</v>
      </c>
      <c r="O260" s="3">
        <f t="shared" si="8"/>
        <v>0</v>
      </c>
    </row>
    <row r="261" spans="13:15" x14ac:dyDescent="0.25">
      <c r="M261" s="2">
        <f t="shared" si="9"/>
        <v>0</v>
      </c>
      <c r="N261" t="str" cm="1">
        <f t="array" ref="N261">ConvertToSkill(B261,$D$1)</f>
        <v>Not matched</v>
      </c>
      <c r="O261" s="3">
        <f t="shared" si="8"/>
        <v>0</v>
      </c>
    </row>
    <row r="262" spans="13:15" x14ac:dyDescent="0.25">
      <c r="M262" s="2">
        <f t="shared" si="9"/>
        <v>0</v>
      </c>
      <c r="N262" t="str" cm="1">
        <f t="array" ref="N262">ConvertToSkill(B262,$D$1)</f>
        <v>Not matched</v>
      </c>
      <c r="O262" s="3">
        <f t="shared" si="8"/>
        <v>0</v>
      </c>
    </row>
    <row r="263" spans="13:15" x14ac:dyDescent="0.25">
      <c r="M263" s="2">
        <f t="shared" si="9"/>
        <v>0</v>
      </c>
      <c r="N263" t="str" cm="1">
        <f t="array" ref="N263">ConvertToSkill(B263,$D$1)</f>
        <v>Not matched</v>
      </c>
      <c r="O263" s="3">
        <f t="shared" si="8"/>
        <v>0</v>
      </c>
    </row>
    <row r="264" spans="13:15" x14ac:dyDescent="0.25">
      <c r="M264" s="2">
        <f t="shared" si="9"/>
        <v>0</v>
      </c>
      <c r="N264" t="str" cm="1">
        <f t="array" ref="N264">ConvertToSkill(B264,$D$1)</f>
        <v>Not matched</v>
      </c>
      <c r="O264" s="3">
        <f t="shared" si="8"/>
        <v>0</v>
      </c>
    </row>
    <row r="265" spans="13:15" x14ac:dyDescent="0.25">
      <c r="M265" s="2">
        <f t="shared" si="9"/>
        <v>0</v>
      </c>
      <c r="N265" t="str" cm="1">
        <f t="array" ref="N265">ConvertToSkill(B265,$D$1)</f>
        <v>Not matched</v>
      </c>
      <c r="O265" s="3">
        <f t="shared" si="8"/>
        <v>0</v>
      </c>
    </row>
    <row r="266" spans="13:15" x14ac:dyDescent="0.25">
      <c r="M266" s="2">
        <f t="shared" si="9"/>
        <v>0</v>
      </c>
      <c r="N266" t="str" cm="1">
        <f t="array" ref="N266">ConvertToSkill(B266,$D$1)</f>
        <v>Not matched</v>
      </c>
      <c r="O266" s="3">
        <f t="shared" si="8"/>
        <v>0</v>
      </c>
    </row>
    <row r="267" spans="13:15" x14ac:dyDescent="0.25">
      <c r="M267" s="2">
        <f t="shared" si="9"/>
        <v>0</v>
      </c>
      <c r="N267" t="str" cm="1">
        <f t="array" ref="N267">ConvertToSkill(B267,$D$1)</f>
        <v>Not matched</v>
      </c>
      <c r="O267" s="3">
        <f t="shared" si="8"/>
        <v>0</v>
      </c>
    </row>
    <row r="268" spans="13:15" x14ac:dyDescent="0.25">
      <c r="M268" s="2">
        <f t="shared" si="9"/>
        <v>0</v>
      </c>
      <c r="N268" t="str" cm="1">
        <f t="array" ref="N268">ConvertToSkill(B268,$D$1)</f>
        <v>Not matched</v>
      </c>
      <c r="O268" s="3">
        <f t="shared" si="8"/>
        <v>0</v>
      </c>
    </row>
    <row r="269" spans="13:15" x14ac:dyDescent="0.25">
      <c r="M269" s="2">
        <f t="shared" si="9"/>
        <v>0</v>
      </c>
      <c r="N269" t="str" cm="1">
        <f t="array" ref="N269">ConvertToSkill(B269,$D$1)</f>
        <v>Not matched</v>
      </c>
      <c r="O269" s="3">
        <f t="shared" si="8"/>
        <v>0</v>
      </c>
    </row>
    <row r="270" spans="13:15" x14ac:dyDescent="0.25">
      <c r="M270" s="2">
        <f t="shared" si="9"/>
        <v>0</v>
      </c>
      <c r="N270" t="str" cm="1">
        <f t="array" ref="N270">ConvertToSkill(B270,$D$1)</f>
        <v>Not matched</v>
      </c>
      <c r="O270" s="3">
        <f t="shared" si="8"/>
        <v>0</v>
      </c>
    </row>
    <row r="271" spans="13:15" x14ac:dyDescent="0.25">
      <c r="M271" s="2">
        <f t="shared" si="9"/>
        <v>0</v>
      </c>
      <c r="N271" t="str" cm="1">
        <f t="array" ref="N271">ConvertToSkill(B271,$D$1)</f>
        <v>Not matched</v>
      </c>
      <c r="O271" s="3">
        <f t="shared" si="8"/>
        <v>0</v>
      </c>
    </row>
    <row r="272" spans="13:15" x14ac:dyDescent="0.25">
      <c r="M272" s="2">
        <f t="shared" si="9"/>
        <v>0</v>
      </c>
      <c r="N272" t="str" cm="1">
        <f t="array" ref="N272">ConvertToSkill(B272,$D$1)</f>
        <v>Not matched</v>
      </c>
      <c r="O272" s="3">
        <f t="shared" si="8"/>
        <v>0</v>
      </c>
    </row>
    <row r="273" spans="13:15" x14ac:dyDescent="0.25">
      <c r="M273" s="2">
        <f t="shared" si="9"/>
        <v>0</v>
      </c>
      <c r="N273" t="str" cm="1">
        <f t="array" ref="N273">ConvertToSkill(B273,$D$1)</f>
        <v>Not matched</v>
      </c>
      <c r="O273" s="3">
        <f t="shared" si="8"/>
        <v>0</v>
      </c>
    </row>
    <row r="274" spans="13:15" x14ac:dyDescent="0.25">
      <c r="M274" s="2">
        <f t="shared" si="9"/>
        <v>0</v>
      </c>
      <c r="N274" t="str" cm="1">
        <f t="array" ref="N274">ConvertToSkill(B274,$D$1)</f>
        <v>Not matched</v>
      </c>
      <c r="O274" s="3">
        <f t="shared" si="8"/>
        <v>0</v>
      </c>
    </row>
    <row r="275" spans="13:15" x14ac:dyDescent="0.25">
      <c r="M275" s="2">
        <f t="shared" si="9"/>
        <v>0</v>
      </c>
      <c r="N275" t="str" cm="1">
        <f t="array" ref="N275">ConvertToSkill(B275,$D$1)</f>
        <v>Not matched</v>
      </c>
      <c r="O275" s="3">
        <f t="shared" si="8"/>
        <v>0</v>
      </c>
    </row>
    <row r="276" spans="13:15" x14ac:dyDescent="0.25">
      <c r="M276" s="2">
        <f t="shared" si="9"/>
        <v>0</v>
      </c>
      <c r="N276" t="str" cm="1">
        <f t="array" ref="N276">ConvertToSkill(B276,$D$1)</f>
        <v>Not matched</v>
      </c>
      <c r="O276" s="3">
        <f t="shared" si="8"/>
        <v>0</v>
      </c>
    </row>
    <row r="277" spans="13:15" x14ac:dyDescent="0.25">
      <c r="M277" s="2">
        <f t="shared" si="9"/>
        <v>0</v>
      </c>
      <c r="N277" t="str" cm="1">
        <f t="array" ref="N277">ConvertToSkill(B277,$D$1)</f>
        <v>Not matched</v>
      </c>
      <c r="O277" s="3">
        <f t="shared" si="8"/>
        <v>0</v>
      </c>
    </row>
    <row r="278" spans="13:15" x14ac:dyDescent="0.25">
      <c r="M278" s="2">
        <f t="shared" si="9"/>
        <v>0</v>
      </c>
      <c r="N278" t="str" cm="1">
        <f t="array" ref="N278">ConvertToSkill(B278,$D$1)</f>
        <v>Not matched</v>
      </c>
      <c r="O278" s="3">
        <f t="shared" si="8"/>
        <v>0</v>
      </c>
    </row>
    <row r="279" spans="13:15" x14ac:dyDescent="0.25">
      <c r="M279" s="2">
        <f t="shared" si="9"/>
        <v>0</v>
      </c>
      <c r="N279" t="str" cm="1">
        <f t="array" ref="N279">ConvertToSkill(B279,$D$1)</f>
        <v>Not matched</v>
      </c>
      <c r="O279" s="3">
        <f t="shared" si="8"/>
        <v>0</v>
      </c>
    </row>
    <row r="280" spans="13:15" x14ac:dyDescent="0.25">
      <c r="M280" s="2">
        <f t="shared" si="9"/>
        <v>0</v>
      </c>
      <c r="N280" t="str" cm="1">
        <f t="array" ref="N280">ConvertToSkill(B280,$D$1)</f>
        <v>Not matched</v>
      </c>
      <c r="O280" s="3">
        <f t="shared" si="8"/>
        <v>0</v>
      </c>
    </row>
    <row r="281" spans="13:15" x14ac:dyDescent="0.25">
      <c r="M281" s="2">
        <f t="shared" si="9"/>
        <v>0</v>
      </c>
      <c r="N281" t="str" cm="1">
        <f t="array" ref="N281">ConvertToSkill(B281,$D$1)</f>
        <v>Not matched</v>
      </c>
      <c r="O281" s="3">
        <f t="shared" si="8"/>
        <v>0</v>
      </c>
    </row>
    <row r="282" spans="13:15" x14ac:dyDescent="0.25">
      <c r="M282" s="2">
        <f t="shared" si="9"/>
        <v>0</v>
      </c>
      <c r="N282" t="str" cm="1">
        <f t="array" ref="N282">ConvertToSkill(B282,$D$1)</f>
        <v>Not matched</v>
      </c>
      <c r="O282" s="3">
        <f t="shared" si="8"/>
        <v>0</v>
      </c>
    </row>
    <row r="283" spans="13:15" x14ac:dyDescent="0.25">
      <c r="M283" s="2">
        <f t="shared" si="9"/>
        <v>0</v>
      </c>
      <c r="N283" t="str" cm="1">
        <f t="array" ref="N283">ConvertToSkill(B283,$D$1)</f>
        <v>Not matched</v>
      </c>
      <c r="O283" s="3">
        <f t="shared" si="8"/>
        <v>0</v>
      </c>
    </row>
    <row r="284" spans="13:15" x14ac:dyDescent="0.25">
      <c r="M284" s="2">
        <f t="shared" si="9"/>
        <v>0</v>
      </c>
      <c r="N284" t="str" cm="1">
        <f t="array" ref="N284">ConvertToSkill(B284,$D$1)</f>
        <v>Not matched</v>
      </c>
      <c r="O284" s="3">
        <f t="shared" si="8"/>
        <v>0</v>
      </c>
    </row>
    <row r="285" spans="13:15" x14ac:dyDescent="0.25">
      <c r="M285" s="2">
        <f t="shared" si="9"/>
        <v>0</v>
      </c>
      <c r="N285" t="str" cm="1">
        <f t="array" ref="N285">ConvertToSkill(B285,$D$1)</f>
        <v>Not matched</v>
      </c>
      <c r="O285" s="3">
        <f t="shared" si="8"/>
        <v>0</v>
      </c>
    </row>
    <row r="286" spans="13:15" x14ac:dyDescent="0.25">
      <c r="M286" s="2">
        <f t="shared" si="9"/>
        <v>0</v>
      </c>
      <c r="N286" t="str" cm="1">
        <f t="array" ref="N286">ConvertToSkill(B286,$D$1)</f>
        <v>Not matched</v>
      </c>
      <c r="O286" s="3">
        <f t="shared" si="8"/>
        <v>0</v>
      </c>
    </row>
    <row r="287" spans="13:15" x14ac:dyDescent="0.25">
      <c r="M287" s="2">
        <f t="shared" si="9"/>
        <v>0</v>
      </c>
      <c r="N287" t="str" cm="1">
        <f t="array" ref="N287">ConvertToSkill(B287,$D$1)</f>
        <v>Not matched</v>
      </c>
      <c r="O287" s="3">
        <f t="shared" si="8"/>
        <v>0</v>
      </c>
    </row>
    <row r="288" spans="13:15" x14ac:dyDescent="0.25">
      <c r="M288" s="2">
        <f t="shared" si="9"/>
        <v>0</v>
      </c>
      <c r="N288" t="str" cm="1">
        <f t="array" ref="N288">ConvertToSkill(B288,$D$1)</f>
        <v>Not matched</v>
      </c>
      <c r="O288" s="3">
        <f t="shared" si="8"/>
        <v>0</v>
      </c>
    </row>
    <row r="289" spans="13:15" x14ac:dyDescent="0.25">
      <c r="M289" s="2">
        <f t="shared" si="9"/>
        <v>0</v>
      </c>
      <c r="N289" t="str" cm="1">
        <f t="array" ref="N289">ConvertToSkill(B289,$D$1)</f>
        <v>Not matched</v>
      </c>
      <c r="O289" s="3">
        <f t="shared" si="8"/>
        <v>0</v>
      </c>
    </row>
    <row r="290" spans="13:15" x14ac:dyDescent="0.25">
      <c r="M290" s="2">
        <f t="shared" si="9"/>
        <v>0</v>
      </c>
      <c r="N290" t="str" cm="1">
        <f t="array" ref="N290">ConvertToSkill(B290,$D$1)</f>
        <v>Not matched</v>
      </c>
      <c r="O290" s="3">
        <f t="shared" si="8"/>
        <v>0</v>
      </c>
    </row>
    <row r="291" spans="13:15" x14ac:dyDescent="0.25">
      <c r="M291" s="2">
        <f t="shared" si="9"/>
        <v>0</v>
      </c>
      <c r="N291" t="str" cm="1">
        <f t="array" ref="N291">ConvertToSkill(B291,$D$1)</f>
        <v>Not matched</v>
      </c>
      <c r="O291" s="3">
        <f t="shared" si="8"/>
        <v>0</v>
      </c>
    </row>
    <row r="292" spans="13:15" x14ac:dyDescent="0.25">
      <c r="M292" s="2">
        <f t="shared" si="9"/>
        <v>0</v>
      </c>
      <c r="N292" t="str" cm="1">
        <f t="array" ref="N292">ConvertToSkill(B292,$D$1)</f>
        <v>Not matched</v>
      </c>
      <c r="O292" s="3">
        <f t="shared" si="8"/>
        <v>0</v>
      </c>
    </row>
    <row r="293" spans="13:15" x14ac:dyDescent="0.25">
      <c r="M293" s="2">
        <f t="shared" si="9"/>
        <v>0</v>
      </c>
      <c r="N293" t="str" cm="1">
        <f t="array" ref="N293">ConvertToSkill(B293,$D$1)</f>
        <v>Not matched</v>
      </c>
      <c r="O293" s="3">
        <f t="shared" si="8"/>
        <v>0</v>
      </c>
    </row>
    <row r="294" spans="13:15" x14ac:dyDescent="0.25">
      <c r="M294" s="2">
        <f t="shared" si="9"/>
        <v>0</v>
      </c>
      <c r="N294" t="str" cm="1">
        <f t="array" ref="N294">ConvertToSkill(B294,$D$1)</f>
        <v>Not matched</v>
      </c>
      <c r="O294" s="3">
        <f t="shared" si="8"/>
        <v>0</v>
      </c>
    </row>
    <row r="295" spans="13:15" x14ac:dyDescent="0.25">
      <c r="M295" s="2">
        <f t="shared" si="9"/>
        <v>0</v>
      </c>
      <c r="N295" t="str" cm="1">
        <f t="array" ref="N295">ConvertToSkill(B295,$D$1)</f>
        <v>Not matched</v>
      </c>
      <c r="O295" s="3">
        <f t="shared" si="8"/>
        <v>0</v>
      </c>
    </row>
    <row r="296" spans="13:15" x14ac:dyDescent="0.25">
      <c r="M296" s="2">
        <f t="shared" si="9"/>
        <v>0</v>
      </c>
      <c r="N296" t="str" cm="1">
        <f t="array" ref="N296">ConvertToSkill(B296,$D$1)</f>
        <v>Not matched</v>
      </c>
      <c r="O296" s="3">
        <f t="shared" si="8"/>
        <v>0</v>
      </c>
    </row>
    <row r="297" spans="13:15" x14ac:dyDescent="0.25">
      <c r="M297" s="2">
        <f t="shared" si="9"/>
        <v>0</v>
      </c>
      <c r="N297" t="str" cm="1">
        <f t="array" ref="N297">ConvertToSkill(B297,$D$1)</f>
        <v>Not matched</v>
      </c>
      <c r="O297" s="3">
        <f t="shared" si="8"/>
        <v>0</v>
      </c>
    </row>
    <row r="298" spans="13:15" x14ac:dyDescent="0.25">
      <c r="M298" s="2">
        <f t="shared" si="9"/>
        <v>0</v>
      </c>
      <c r="N298" t="str" cm="1">
        <f t="array" ref="N298">ConvertToSkill(B298,$D$1)</f>
        <v>Not matched</v>
      </c>
      <c r="O298" s="3">
        <f t="shared" si="8"/>
        <v>0</v>
      </c>
    </row>
    <row r="299" spans="13:15" x14ac:dyDescent="0.25">
      <c r="M299" s="2">
        <f t="shared" si="9"/>
        <v>0</v>
      </c>
      <c r="N299" t="str" cm="1">
        <f t="array" ref="N299">ConvertToSkill(B299,$D$1)</f>
        <v>Not matched</v>
      </c>
      <c r="O299" s="3">
        <f t="shared" si="8"/>
        <v>0</v>
      </c>
    </row>
    <row r="300" spans="13:15" x14ac:dyDescent="0.25">
      <c r="M300" s="2">
        <f t="shared" si="9"/>
        <v>0</v>
      </c>
      <c r="N300" t="str" cm="1">
        <f t="array" ref="N300">ConvertToSkill(B300,$D$1)</f>
        <v>Not matched</v>
      </c>
      <c r="O300" s="3">
        <f t="shared" si="8"/>
        <v>0</v>
      </c>
    </row>
    <row r="301" spans="13:15" x14ac:dyDescent="0.25">
      <c r="M301" s="2">
        <f t="shared" si="9"/>
        <v>0</v>
      </c>
      <c r="N301" t="str" cm="1">
        <f t="array" ref="N301">ConvertToSkill(B301,$D$1)</f>
        <v>Not matched</v>
      </c>
      <c r="O301" s="3">
        <f t="shared" si="8"/>
        <v>0</v>
      </c>
    </row>
    <row r="302" spans="13:15" x14ac:dyDescent="0.25">
      <c r="M302" s="2">
        <f t="shared" si="9"/>
        <v>0</v>
      </c>
      <c r="N302" t="str" cm="1">
        <f t="array" ref="N302">ConvertToSkill(B302,$D$1)</f>
        <v>Not matched</v>
      </c>
      <c r="O302" s="3">
        <f t="shared" si="8"/>
        <v>0</v>
      </c>
    </row>
    <row r="303" spans="13:15" x14ac:dyDescent="0.25">
      <c r="M303" s="2">
        <f t="shared" si="9"/>
        <v>0</v>
      </c>
      <c r="N303" t="str" cm="1">
        <f t="array" ref="N303">ConvertToSkill(B303,$D$1)</f>
        <v>Not matched</v>
      </c>
      <c r="O303" s="3">
        <f t="shared" si="8"/>
        <v>0</v>
      </c>
    </row>
    <row r="304" spans="13:15" x14ac:dyDescent="0.25">
      <c r="M304" s="2">
        <f t="shared" si="9"/>
        <v>0</v>
      </c>
      <c r="N304" t="str" cm="1">
        <f t="array" ref="N304">ConvertToSkill(B304,$D$1)</f>
        <v>Not matched</v>
      </c>
      <c r="O304" s="3">
        <f t="shared" si="8"/>
        <v>0</v>
      </c>
    </row>
    <row r="305" spans="13:15" x14ac:dyDescent="0.25">
      <c r="M305" s="2">
        <f t="shared" si="9"/>
        <v>0</v>
      </c>
      <c r="N305" t="str" cm="1">
        <f t="array" ref="N305">ConvertToSkill(B305,$D$1)</f>
        <v>Not matched</v>
      </c>
      <c r="O305" s="3">
        <f t="shared" si="8"/>
        <v>0</v>
      </c>
    </row>
    <row r="306" spans="13:15" x14ac:dyDescent="0.25">
      <c r="M306" s="2">
        <f t="shared" si="9"/>
        <v>0</v>
      </c>
      <c r="N306" t="str" cm="1">
        <f t="array" ref="N306">ConvertToSkill(B306,$D$1)</f>
        <v>Not matched</v>
      </c>
      <c r="O306" s="3">
        <f t="shared" si="8"/>
        <v>0</v>
      </c>
    </row>
    <row r="307" spans="13:15" x14ac:dyDescent="0.25">
      <c r="M307" s="2">
        <f t="shared" si="9"/>
        <v>0</v>
      </c>
      <c r="N307" t="str" cm="1">
        <f t="array" ref="N307">ConvertToSkill(B307,$D$1)</f>
        <v>Not matched</v>
      </c>
      <c r="O307" s="3">
        <f t="shared" si="8"/>
        <v>0</v>
      </c>
    </row>
    <row r="308" spans="13:15" x14ac:dyDescent="0.25">
      <c r="M308" s="2">
        <f t="shared" si="9"/>
        <v>0</v>
      </c>
      <c r="N308" t="str" cm="1">
        <f t="array" ref="N308">ConvertToSkill(B308,$D$1)</f>
        <v>Not matched</v>
      </c>
      <c r="O308" s="3">
        <f t="shared" si="8"/>
        <v>0</v>
      </c>
    </row>
    <row r="309" spans="13:15" x14ac:dyDescent="0.25">
      <c r="M309" s="2">
        <f t="shared" si="9"/>
        <v>0</v>
      </c>
      <c r="N309" t="str" cm="1">
        <f t="array" ref="N309">ConvertToSkill(B309,$D$1)</f>
        <v>Not matched</v>
      </c>
      <c r="O309" s="3">
        <f t="shared" si="8"/>
        <v>0</v>
      </c>
    </row>
    <row r="310" spans="13:15" x14ac:dyDescent="0.25">
      <c r="M310" s="2">
        <f t="shared" si="9"/>
        <v>0</v>
      </c>
      <c r="N310" t="str" cm="1">
        <f t="array" ref="N310">ConvertToSkill(B310,$D$1)</f>
        <v>Not matched</v>
      </c>
      <c r="O310" s="3">
        <f t="shared" si="8"/>
        <v>0</v>
      </c>
    </row>
    <row r="311" spans="13:15" x14ac:dyDescent="0.25">
      <c r="M311" s="2">
        <f t="shared" si="9"/>
        <v>0</v>
      </c>
      <c r="N311" t="str" cm="1">
        <f t="array" ref="N311">ConvertToSkill(B311,$D$1)</f>
        <v>Not matched</v>
      </c>
      <c r="O311" s="3">
        <f t="shared" si="8"/>
        <v>0</v>
      </c>
    </row>
    <row r="312" spans="13:15" x14ac:dyDescent="0.25">
      <c r="M312" s="2">
        <f t="shared" si="9"/>
        <v>0</v>
      </c>
      <c r="N312" t="str" cm="1">
        <f t="array" ref="N312">ConvertToSkill(B312,$D$1)</f>
        <v>Not matched</v>
      </c>
      <c r="O312" s="3">
        <f t="shared" si="8"/>
        <v>0</v>
      </c>
    </row>
    <row r="313" spans="13:15" x14ac:dyDescent="0.25">
      <c r="M313" s="2">
        <f t="shared" si="9"/>
        <v>0</v>
      </c>
      <c r="N313" t="str" cm="1">
        <f t="array" ref="N313">ConvertToSkill(B313,$D$1)</f>
        <v>Not matched</v>
      </c>
      <c r="O313" s="3">
        <f t="shared" si="8"/>
        <v>0</v>
      </c>
    </row>
    <row r="314" spans="13:15" x14ac:dyDescent="0.25">
      <c r="M314" s="2">
        <f t="shared" si="9"/>
        <v>0</v>
      </c>
      <c r="N314" t="str" cm="1">
        <f t="array" ref="N314">ConvertToSkill(B314,$D$1)</f>
        <v>Not matched</v>
      </c>
      <c r="O314" s="3">
        <f t="shared" si="8"/>
        <v>0</v>
      </c>
    </row>
    <row r="315" spans="13:15" x14ac:dyDescent="0.25">
      <c r="M315" s="2">
        <f t="shared" si="9"/>
        <v>0</v>
      </c>
      <c r="N315" t="str" cm="1">
        <f t="array" ref="N315">ConvertToSkill(B315,$D$1)</f>
        <v>Not matched</v>
      </c>
      <c r="O315" s="3">
        <f t="shared" si="8"/>
        <v>0</v>
      </c>
    </row>
    <row r="316" spans="13:15" x14ac:dyDescent="0.25">
      <c r="M316" s="2">
        <f t="shared" si="9"/>
        <v>0</v>
      </c>
      <c r="N316" t="str" cm="1">
        <f t="array" ref="N316">ConvertToSkill(B316,$D$1)</f>
        <v>Not matched</v>
      </c>
      <c r="O316" s="3">
        <f t="shared" si="8"/>
        <v>0</v>
      </c>
    </row>
    <row r="317" spans="13:15" x14ac:dyDescent="0.25">
      <c r="M317" s="2">
        <f t="shared" si="9"/>
        <v>0</v>
      </c>
      <c r="N317" t="str" cm="1">
        <f t="array" ref="N317">ConvertToSkill(B317,$D$1)</f>
        <v>Not matched</v>
      </c>
      <c r="O317" s="3">
        <f t="shared" si="8"/>
        <v>0</v>
      </c>
    </row>
    <row r="318" spans="13:15" x14ac:dyDescent="0.25">
      <c r="M318" s="2">
        <f t="shared" si="9"/>
        <v>0</v>
      </c>
      <c r="N318" t="str" cm="1">
        <f t="array" ref="N318">ConvertToSkill(B318,$D$1)</f>
        <v>Not matched</v>
      </c>
      <c r="O318" s="3">
        <f t="shared" si="8"/>
        <v>0</v>
      </c>
    </row>
    <row r="319" spans="13:15" x14ac:dyDescent="0.25">
      <c r="M319" s="2">
        <f t="shared" si="9"/>
        <v>0</v>
      </c>
      <c r="N319" t="str" cm="1">
        <f t="array" ref="N319">ConvertToSkill(B319,$D$1)</f>
        <v>Not matched</v>
      </c>
      <c r="O319" s="3">
        <f t="shared" si="8"/>
        <v>0</v>
      </c>
    </row>
    <row r="320" spans="13:15" x14ac:dyDescent="0.25">
      <c r="M320" s="2">
        <f t="shared" si="9"/>
        <v>0</v>
      </c>
      <c r="N320" t="str" cm="1">
        <f t="array" ref="N320">ConvertToSkill(B320,$D$1)</f>
        <v>Not matched</v>
      </c>
      <c r="O320" s="3">
        <f t="shared" si="8"/>
        <v>0</v>
      </c>
    </row>
    <row r="321" spans="13:15" x14ac:dyDescent="0.25">
      <c r="M321" s="2">
        <f t="shared" si="9"/>
        <v>0</v>
      </c>
      <c r="N321" t="str" cm="1">
        <f t="array" ref="N321">ConvertToSkill(B321,$D$1)</f>
        <v>Not matched</v>
      </c>
      <c r="O321" s="3">
        <f t="shared" si="8"/>
        <v>0</v>
      </c>
    </row>
    <row r="322" spans="13:15" x14ac:dyDescent="0.25">
      <c r="M322" s="2">
        <f t="shared" si="9"/>
        <v>0</v>
      </c>
      <c r="N322" t="str" cm="1">
        <f t="array" ref="N322">ConvertToSkill(B322,$D$1)</f>
        <v>Not matched</v>
      </c>
      <c r="O322" s="3">
        <f t="shared" ref="O322:O342" si="10">(M322-M321)*24*60*60</f>
        <v>0</v>
      </c>
    </row>
    <row r="323" spans="13:15" x14ac:dyDescent="0.25">
      <c r="M323" s="2">
        <f t="shared" ref="M323:M342" si="11">MROUND($A323,1/86400)</f>
        <v>0</v>
      </c>
      <c r="N323" t="str" cm="1">
        <f t="array" ref="N323">ConvertToSkill(B323,$D$1)</f>
        <v>Not matched</v>
      </c>
      <c r="O323" s="3">
        <f t="shared" si="10"/>
        <v>0</v>
      </c>
    </row>
    <row r="324" spans="13:15" x14ac:dyDescent="0.25">
      <c r="M324" s="2">
        <f t="shared" si="11"/>
        <v>0</v>
      </c>
      <c r="N324" t="str" cm="1">
        <f t="array" ref="N324">ConvertToSkill(B324,$D$1)</f>
        <v>Not matched</v>
      </c>
      <c r="O324" s="3">
        <f t="shared" si="10"/>
        <v>0</v>
      </c>
    </row>
    <row r="325" spans="13:15" x14ac:dyDescent="0.25">
      <c r="M325" s="2">
        <f t="shared" si="11"/>
        <v>0</v>
      </c>
      <c r="N325" t="str" cm="1">
        <f t="array" ref="N325">ConvertToSkill(B325,$D$1)</f>
        <v>Not matched</v>
      </c>
      <c r="O325" s="3">
        <f t="shared" si="10"/>
        <v>0</v>
      </c>
    </row>
    <row r="326" spans="13:15" x14ac:dyDescent="0.25">
      <c r="M326" s="2">
        <f t="shared" si="11"/>
        <v>0</v>
      </c>
      <c r="N326" t="str" cm="1">
        <f t="array" ref="N326">ConvertToSkill(B326,$D$1)</f>
        <v>Not matched</v>
      </c>
      <c r="O326" s="3">
        <f t="shared" si="10"/>
        <v>0</v>
      </c>
    </row>
    <row r="327" spans="13:15" x14ac:dyDescent="0.25">
      <c r="M327" s="2">
        <f t="shared" si="11"/>
        <v>0</v>
      </c>
      <c r="N327" t="str" cm="1">
        <f t="array" ref="N327">ConvertToSkill(B327,$D$1)</f>
        <v>Not matched</v>
      </c>
      <c r="O327" s="3">
        <f t="shared" si="10"/>
        <v>0</v>
      </c>
    </row>
    <row r="328" spans="13:15" x14ac:dyDescent="0.25">
      <c r="M328" s="2">
        <f t="shared" si="11"/>
        <v>0</v>
      </c>
      <c r="N328" t="str" cm="1">
        <f t="array" ref="N328">ConvertToSkill(B328,$D$1)</f>
        <v>Not matched</v>
      </c>
      <c r="O328" s="3">
        <f t="shared" si="10"/>
        <v>0</v>
      </c>
    </row>
    <row r="329" spans="13:15" x14ac:dyDescent="0.25">
      <c r="M329" s="2">
        <f t="shared" si="11"/>
        <v>0</v>
      </c>
      <c r="N329" t="str" cm="1">
        <f t="array" ref="N329">ConvertToSkill(B329,$D$1)</f>
        <v>Not matched</v>
      </c>
      <c r="O329" s="3">
        <f t="shared" si="10"/>
        <v>0</v>
      </c>
    </row>
    <row r="330" spans="13:15" x14ac:dyDescent="0.25">
      <c r="M330" s="2">
        <f t="shared" si="11"/>
        <v>0</v>
      </c>
      <c r="N330" t="str" cm="1">
        <f t="array" ref="N330">ConvertToSkill(B330,$D$1)</f>
        <v>Not matched</v>
      </c>
      <c r="O330" s="3">
        <f t="shared" si="10"/>
        <v>0</v>
      </c>
    </row>
    <row r="331" spans="13:15" x14ac:dyDescent="0.25">
      <c r="M331" s="2">
        <f t="shared" si="11"/>
        <v>0</v>
      </c>
      <c r="N331" t="str" cm="1">
        <f t="array" ref="N331">ConvertToSkill(B331,$D$1)</f>
        <v>Not matched</v>
      </c>
      <c r="O331" s="3">
        <f t="shared" si="10"/>
        <v>0</v>
      </c>
    </row>
    <row r="332" spans="13:15" x14ac:dyDescent="0.25">
      <c r="M332" s="2">
        <f t="shared" si="11"/>
        <v>0</v>
      </c>
      <c r="N332" t="str" cm="1">
        <f t="array" ref="N332">ConvertToSkill(B332,$D$1)</f>
        <v>Not matched</v>
      </c>
      <c r="O332" s="3">
        <f t="shared" si="10"/>
        <v>0</v>
      </c>
    </row>
    <row r="333" spans="13:15" x14ac:dyDescent="0.25">
      <c r="M333" s="2">
        <f t="shared" si="11"/>
        <v>0</v>
      </c>
      <c r="N333" t="str" cm="1">
        <f t="array" ref="N333">ConvertToSkill(B333,$D$1)</f>
        <v>Not matched</v>
      </c>
      <c r="O333" s="3">
        <f t="shared" si="10"/>
        <v>0</v>
      </c>
    </row>
    <row r="334" spans="13:15" x14ac:dyDescent="0.25">
      <c r="M334" s="2">
        <f t="shared" si="11"/>
        <v>0</v>
      </c>
      <c r="N334" t="str" cm="1">
        <f t="array" ref="N334">ConvertToSkill(B334,$D$1)</f>
        <v>Not matched</v>
      </c>
      <c r="O334" s="3">
        <f t="shared" si="10"/>
        <v>0</v>
      </c>
    </row>
    <row r="335" spans="13:15" x14ac:dyDescent="0.25">
      <c r="M335" s="2">
        <f t="shared" si="11"/>
        <v>0</v>
      </c>
      <c r="N335" t="str" cm="1">
        <f t="array" ref="N335">ConvertToSkill(B335,$D$1)</f>
        <v>Not matched</v>
      </c>
      <c r="O335" s="3">
        <f t="shared" si="10"/>
        <v>0</v>
      </c>
    </row>
    <row r="336" spans="13:15" x14ac:dyDescent="0.25">
      <c r="M336" s="2">
        <f t="shared" si="11"/>
        <v>0</v>
      </c>
      <c r="N336" t="str" cm="1">
        <f t="array" ref="N336">ConvertToSkill(B336,$D$1)</f>
        <v>Not matched</v>
      </c>
      <c r="O336" s="3">
        <f t="shared" si="10"/>
        <v>0</v>
      </c>
    </row>
    <row r="337" spans="13:15" x14ac:dyDescent="0.25">
      <c r="M337" s="2">
        <f t="shared" si="11"/>
        <v>0</v>
      </c>
      <c r="N337" t="str" cm="1">
        <f t="array" ref="N337">ConvertToSkill(B337,$D$1)</f>
        <v>Not matched</v>
      </c>
      <c r="O337" s="3">
        <f t="shared" si="10"/>
        <v>0</v>
      </c>
    </row>
    <row r="338" spans="13:15" x14ac:dyDescent="0.25">
      <c r="M338" s="2">
        <f t="shared" si="11"/>
        <v>0</v>
      </c>
      <c r="N338" t="str" cm="1">
        <f t="array" ref="N338">ConvertToSkill(B338,$D$1)</f>
        <v>Not matched</v>
      </c>
      <c r="O338" s="3">
        <f t="shared" si="10"/>
        <v>0</v>
      </c>
    </row>
    <row r="339" spans="13:15" x14ac:dyDescent="0.25">
      <c r="M339" s="2">
        <f t="shared" si="11"/>
        <v>0</v>
      </c>
      <c r="N339" t="str" cm="1">
        <f t="array" ref="N339">ConvertToSkill(B339,$D$1)</f>
        <v>Not matched</v>
      </c>
      <c r="O339" s="3">
        <f t="shared" si="10"/>
        <v>0</v>
      </c>
    </row>
    <row r="340" spans="13:15" x14ac:dyDescent="0.25">
      <c r="M340" s="2">
        <f t="shared" si="11"/>
        <v>0</v>
      </c>
      <c r="N340" t="str" cm="1">
        <f t="array" ref="N340">ConvertToSkill(B340,$D$1)</f>
        <v>Not matched</v>
      </c>
      <c r="O340" s="3">
        <f t="shared" si="10"/>
        <v>0</v>
      </c>
    </row>
    <row r="341" spans="13:15" x14ac:dyDescent="0.25">
      <c r="M341" s="2">
        <f t="shared" si="11"/>
        <v>0</v>
      </c>
      <c r="N341" t="str" cm="1">
        <f t="array" ref="N341">ConvertToSkill(B341,$D$1)</f>
        <v>Not matched</v>
      </c>
      <c r="O341" s="3">
        <f t="shared" si="10"/>
        <v>0</v>
      </c>
    </row>
    <row r="342" spans="13:15" x14ac:dyDescent="0.25">
      <c r="M342" s="2">
        <f t="shared" si="11"/>
        <v>0</v>
      </c>
      <c r="N342" t="str" cm="1">
        <f t="array" ref="N342">ConvertToSkill(B342,$D$1)</f>
        <v>Not matched</v>
      </c>
      <c r="O342" s="3">
        <f t="shared" si="10"/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FFlogsConversion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Sable</dc:creator>
  <cp:lastModifiedBy>Sable</cp:lastModifiedBy>
  <dcterms:created xsi:type="dcterms:W3CDTF">2020-07-02T20:39:38Z</dcterms:created>
  <dcterms:modified xsi:type="dcterms:W3CDTF">2020-07-04T21:21:38Z</dcterms:modified>
</cp:coreProperties>
</file>